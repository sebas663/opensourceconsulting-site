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economicasuba-my.sharepoint.com/personal/96lc30494821_campus_economicas_uba_ar/Documents/APLSI C3 - 2026.1/APLSI C3 - 2026.1 - G3/"/>
    </mc:Choice>
  </mc:AlternateContent>
  <xr:revisionPtr revIDLastSave="0" documentId="8_{E61D60EE-0FE3-4418-9813-1018C5854D13}" xr6:coauthVersionLast="47" xr6:coauthVersionMax="47" xr10:uidLastSave="{00000000-0000-0000-0000-000000000000}"/>
  <bookViews>
    <workbookView xWindow="-110" yWindow="-110" windowWidth="19420" windowHeight="10420" tabRatio="500" firstSheet="4" activeTab="4" xr2:uid="{00000000-000D-0000-FFFF-FFFF00000000}"/>
  </bookViews>
  <sheets>
    <sheet name="Portada" sheetId="1" r:id="rId1"/>
    <sheet name="Introducción" sheetId="3" r:id="rId2"/>
    <sheet name="Matriz Funcional" sheetId="4" r:id="rId3"/>
    <sheet name="Matriz Técnica" sheetId="5" r:id="rId4"/>
    <sheet name="Matriz Económica" sheetId="6" r:id="rId5"/>
    <sheet name="Matriz Proveedores" sheetId="7" r:id="rId6"/>
    <sheet name="Opinion Ejecutiva" sheetId="8" r:id="rId7"/>
    <sheet name="Gráfico Ponderación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0" l="1"/>
  <c r="E3" i="10"/>
  <c r="D4" i="10"/>
  <c r="E4" i="10"/>
  <c r="D5" i="10"/>
  <c r="E5" i="10"/>
  <c r="D6" i="10"/>
  <c r="E6" i="10"/>
  <c r="D8" i="10"/>
  <c r="E8" i="10"/>
  <c r="C47" i="7"/>
  <c r="L46" i="7"/>
  <c r="M46" i="7" s="1"/>
  <c r="I46" i="7"/>
  <c r="J46" i="7" s="1"/>
  <c r="D46" i="7"/>
  <c r="M45" i="7"/>
  <c r="L45" i="7"/>
  <c r="J45" i="7"/>
  <c r="I45" i="7"/>
  <c r="D45" i="7"/>
  <c r="I44" i="7"/>
  <c r="D44" i="7"/>
  <c r="M43" i="7"/>
  <c r="L43" i="7"/>
  <c r="J43" i="7"/>
  <c r="I43" i="7"/>
  <c r="D43" i="7"/>
  <c r="L42" i="7"/>
  <c r="M42" i="7" s="1"/>
  <c r="I42" i="7"/>
  <c r="I40" i="7" s="1"/>
  <c r="I39" i="7" s="1"/>
  <c r="D42" i="7"/>
  <c r="M41" i="7"/>
  <c r="L41" i="7"/>
  <c r="I41" i="7"/>
  <c r="D41" i="7"/>
  <c r="L40" i="7"/>
  <c r="D40" i="7"/>
  <c r="J41" i="7" s="1"/>
  <c r="D39" i="7"/>
  <c r="L38" i="7"/>
  <c r="M38" i="7" s="1"/>
  <c r="J38" i="7"/>
  <c r="I38" i="7"/>
  <c r="D38" i="7"/>
  <c r="M37" i="7"/>
  <c r="L37" i="7"/>
  <c r="J37" i="7"/>
  <c r="J36" i="7" s="1"/>
  <c r="I37" i="7"/>
  <c r="D37" i="7"/>
  <c r="I36" i="7"/>
  <c r="D36" i="7"/>
  <c r="M35" i="7"/>
  <c r="L35" i="7"/>
  <c r="J35" i="7"/>
  <c r="I35" i="7"/>
  <c r="D35" i="7"/>
  <c r="L34" i="7"/>
  <c r="M34" i="7" s="1"/>
  <c r="I34" i="7"/>
  <c r="I32" i="7" s="1"/>
  <c r="I31" i="7" s="1"/>
  <c r="D34" i="7"/>
  <c r="M33" i="7"/>
  <c r="L33" i="7"/>
  <c r="I33" i="7"/>
  <c r="D33" i="7"/>
  <c r="L32" i="7"/>
  <c r="D32" i="7"/>
  <c r="J33" i="7" s="1"/>
  <c r="D31" i="7"/>
  <c r="L30" i="7"/>
  <c r="M30" i="7" s="1"/>
  <c r="J30" i="7"/>
  <c r="I30" i="7"/>
  <c r="D30" i="7"/>
  <c r="M29" i="7"/>
  <c r="M28" i="7" s="1"/>
  <c r="L29" i="7"/>
  <c r="J29" i="7"/>
  <c r="J28" i="7" s="1"/>
  <c r="I29" i="7"/>
  <c r="D29" i="7"/>
  <c r="I28" i="7"/>
  <c r="D28" i="7"/>
  <c r="M27" i="7"/>
  <c r="L27" i="7"/>
  <c r="J27" i="7"/>
  <c r="I27" i="7"/>
  <c r="D27" i="7"/>
  <c r="L26" i="7"/>
  <c r="M26" i="7" s="1"/>
  <c r="I26" i="7"/>
  <c r="I24" i="7" s="1"/>
  <c r="I23" i="7" s="1"/>
  <c r="D26" i="7"/>
  <c r="M25" i="7"/>
  <c r="L25" i="7"/>
  <c r="I25" i="7"/>
  <c r="D25" i="7"/>
  <c r="L24" i="7"/>
  <c r="D24" i="7"/>
  <c r="J25" i="7" s="1"/>
  <c r="D23" i="7"/>
  <c r="L22" i="7"/>
  <c r="M22" i="7" s="1"/>
  <c r="J22" i="7"/>
  <c r="I22" i="7"/>
  <c r="D22" i="7"/>
  <c r="M21" i="7"/>
  <c r="M20" i="7" s="1"/>
  <c r="L21" i="7"/>
  <c r="J21" i="7"/>
  <c r="J20" i="7" s="1"/>
  <c r="I21" i="7"/>
  <c r="D21" i="7"/>
  <c r="I20" i="7"/>
  <c r="D20" i="7"/>
  <c r="M19" i="7"/>
  <c r="L19" i="7"/>
  <c r="J19" i="7"/>
  <c r="I19" i="7"/>
  <c r="D19" i="7"/>
  <c r="L18" i="7"/>
  <c r="M18" i="7" s="1"/>
  <c r="I18" i="7"/>
  <c r="J18" i="7" s="1"/>
  <c r="D18" i="7"/>
  <c r="K17" i="7"/>
  <c r="L17" i="7" s="1"/>
  <c r="I17" i="7"/>
  <c r="I16" i="7" s="1"/>
  <c r="I15" i="7" s="1"/>
  <c r="H17" i="7"/>
  <c r="D17" i="7"/>
  <c r="D16" i="7"/>
  <c r="D15" i="7"/>
  <c r="L14" i="7"/>
  <c r="M14" i="7" s="1"/>
  <c r="I14" i="7"/>
  <c r="J14" i="7" s="1"/>
  <c r="D14" i="7"/>
  <c r="M13" i="7"/>
  <c r="M12" i="7" s="1"/>
  <c r="L13" i="7"/>
  <c r="J13" i="7"/>
  <c r="I13" i="7"/>
  <c r="D13" i="7"/>
  <c r="L12" i="7"/>
  <c r="I12" i="7"/>
  <c r="D12" i="7"/>
  <c r="L11" i="7"/>
  <c r="I11" i="7"/>
  <c r="D11" i="7"/>
  <c r="L10" i="7"/>
  <c r="L9" i="7" s="1"/>
  <c r="I10" i="7"/>
  <c r="J10" i="7" s="1"/>
  <c r="D10" i="7"/>
  <c r="D9" i="7"/>
  <c r="M11" i="7" s="1"/>
  <c r="L8" i="7"/>
  <c r="M8" i="7" s="1"/>
  <c r="I8" i="7"/>
  <c r="J8" i="7" s="1"/>
  <c r="D8" i="7"/>
  <c r="M7" i="7"/>
  <c r="L7" i="7"/>
  <c r="J7" i="7"/>
  <c r="I7" i="7"/>
  <c r="D7" i="7"/>
  <c r="L6" i="7"/>
  <c r="L5" i="7" s="1"/>
  <c r="L4" i="7" s="1"/>
  <c r="I6" i="7"/>
  <c r="I5" i="7" s="1"/>
  <c r="D6" i="7"/>
  <c r="D5" i="7"/>
  <c r="D4" i="7"/>
  <c r="D47" i="7" s="1"/>
  <c r="C35" i="6"/>
  <c r="M34" i="6"/>
  <c r="L34" i="6"/>
  <c r="J34" i="6"/>
  <c r="I34" i="6"/>
  <c r="D34" i="6"/>
  <c r="L33" i="6"/>
  <c r="M33" i="6" s="1"/>
  <c r="I33" i="6"/>
  <c r="I31" i="6" s="1"/>
  <c r="D33" i="6"/>
  <c r="M32" i="6"/>
  <c r="L32" i="6"/>
  <c r="J32" i="6"/>
  <c r="I32" i="6"/>
  <c r="D32" i="6"/>
  <c r="L31" i="6"/>
  <c r="D31" i="6"/>
  <c r="L30" i="6"/>
  <c r="J30" i="6"/>
  <c r="I30" i="6"/>
  <c r="D30" i="6"/>
  <c r="L29" i="6"/>
  <c r="M29" i="6" s="1"/>
  <c r="I29" i="6"/>
  <c r="J29" i="6" s="1"/>
  <c r="D29" i="6"/>
  <c r="M28" i="6"/>
  <c r="L28" i="6"/>
  <c r="J28" i="6"/>
  <c r="I28" i="6"/>
  <c r="D28" i="6"/>
  <c r="I27" i="6"/>
  <c r="I26" i="6" s="1"/>
  <c r="D27" i="6"/>
  <c r="M30" i="6" s="1"/>
  <c r="D26" i="6"/>
  <c r="L25" i="6"/>
  <c r="M25" i="6" s="1"/>
  <c r="I25" i="6"/>
  <c r="I23" i="6" s="1"/>
  <c r="D25" i="6"/>
  <c r="M24" i="6"/>
  <c r="M23" i="6" s="1"/>
  <c r="L24" i="6"/>
  <c r="I24" i="6"/>
  <c r="D24" i="6"/>
  <c r="L23" i="6"/>
  <c r="D23" i="6"/>
  <c r="J24" i="6" s="1"/>
  <c r="L22" i="6"/>
  <c r="J22" i="6"/>
  <c r="I22" i="6"/>
  <c r="D22" i="6"/>
  <c r="L21" i="6"/>
  <c r="M21" i="6" s="1"/>
  <c r="I21" i="6"/>
  <c r="J21" i="6" s="1"/>
  <c r="D21" i="6"/>
  <c r="M20" i="6"/>
  <c r="L20" i="6"/>
  <c r="J20" i="6"/>
  <c r="I20" i="6"/>
  <c r="D20" i="6"/>
  <c r="I19" i="6"/>
  <c r="D19" i="6"/>
  <c r="M22" i="6" s="1"/>
  <c r="M18" i="6"/>
  <c r="L18" i="6"/>
  <c r="I18" i="6"/>
  <c r="D18" i="6"/>
  <c r="L17" i="6"/>
  <c r="L16" i="6" s="1"/>
  <c r="I17" i="6"/>
  <c r="I16" i="6" s="1"/>
  <c r="I15" i="6" s="1"/>
  <c r="D17" i="6"/>
  <c r="D16" i="6"/>
  <c r="J18" i="6" s="1"/>
  <c r="D15" i="6"/>
  <c r="L14" i="6"/>
  <c r="J14" i="6"/>
  <c r="I14" i="6"/>
  <c r="D14" i="6"/>
  <c r="L13" i="6"/>
  <c r="M13" i="6" s="1"/>
  <c r="I13" i="6"/>
  <c r="D13" i="6"/>
  <c r="M12" i="6"/>
  <c r="L12" i="6"/>
  <c r="J12" i="6"/>
  <c r="I12" i="6"/>
  <c r="D12" i="6"/>
  <c r="M11" i="6"/>
  <c r="L11" i="6"/>
  <c r="L10" i="6" s="1"/>
  <c r="I11" i="6"/>
  <c r="I10" i="6" s="1"/>
  <c r="D11" i="6"/>
  <c r="D10" i="6"/>
  <c r="J13" i="6" s="1"/>
  <c r="L9" i="6"/>
  <c r="M9" i="6" s="1"/>
  <c r="I9" i="6"/>
  <c r="J9" i="6" s="1"/>
  <c r="D9" i="6"/>
  <c r="M8" i="6"/>
  <c r="L8" i="6"/>
  <c r="I8" i="6"/>
  <c r="D8" i="6"/>
  <c r="L7" i="6"/>
  <c r="L5" i="6" s="1"/>
  <c r="I7" i="6"/>
  <c r="J7" i="6" s="1"/>
  <c r="D7" i="6"/>
  <c r="M6" i="6"/>
  <c r="L6" i="6"/>
  <c r="J6" i="6"/>
  <c r="J5" i="6" s="1"/>
  <c r="I6" i="6"/>
  <c r="D6" i="6"/>
  <c r="D5" i="6"/>
  <c r="J8" i="6" s="1"/>
  <c r="D4" i="6"/>
  <c r="D35" i="6" s="1"/>
  <c r="C60" i="5"/>
  <c r="L59" i="5"/>
  <c r="M59" i="5" s="1"/>
  <c r="I59" i="5"/>
  <c r="D59" i="5"/>
  <c r="M58" i="5"/>
  <c r="L58" i="5"/>
  <c r="J58" i="5"/>
  <c r="I58" i="5"/>
  <c r="D58" i="5"/>
  <c r="L57" i="5"/>
  <c r="L56" i="5" s="1"/>
  <c r="I57" i="5"/>
  <c r="I56" i="5" s="1"/>
  <c r="D57" i="5"/>
  <c r="D56" i="5"/>
  <c r="J59" i="5" s="1"/>
  <c r="L55" i="5"/>
  <c r="M55" i="5" s="1"/>
  <c r="I55" i="5"/>
  <c r="J55" i="5" s="1"/>
  <c r="D55" i="5"/>
  <c r="L54" i="5"/>
  <c r="I54" i="5"/>
  <c r="D54" i="5"/>
  <c r="L53" i="5"/>
  <c r="L52" i="5" s="1"/>
  <c r="I53" i="5"/>
  <c r="J53" i="5" s="1"/>
  <c r="D53" i="5"/>
  <c r="D52" i="5"/>
  <c r="M54" i="5" s="1"/>
  <c r="L51" i="5"/>
  <c r="M51" i="5" s="1"/>
  <c r="M48" i="5" s="1"/>
  <c r="I51" i="5"/>
  <c r="D51" i="5"/>
  <c r="M50" i="5"/>
  <c r="L50" i="5"/>
  <c r="J50" i="5"/>
  <c r="I50" i="5"/>
  <c r="D50" i="5"/>
  <c r="M49" i="5"/>
  <c r="L49" i="5"/>
  <c r="L48" i="5" s="1"/>
  <c r="I49" i="5"/>
  <c r="I48" i="5" s="1"/>
  <c r="D49" i="5"/>
  <c r="D48" i="5"/>
  <c r="J51" i="5" s="1"/>
  <c r="D47" i="5"/>
  <c r="M46" i="5"/>
  <c r="M45" i="5" s="1"/>
  <c r="L46" i="5"/>
  <c r="I46" i="5"/>
  <c r="D46" i="5"/>
  <c r="L45" i="5"/>
  <c r="I45" i="5"/>
  <c r="D45" i="5"/>
  <c r="J46" i="5" s="1"/>
  <c r="J45" i="5" s="1"/>
  <c r="L44" i="5"/>
  <c r="J44" i="5"/>
  <c r="I44" i="5"/>
  <c r="D44" i="5"/>
  <c r="L43" i="5"/>
  <c r="M43" i="5" s="1"/>
  <c r="J43" i="5"/>
  <c r="I43" i="5"/>
  <c r="D43" i="5"/>
  <c r="M42" i="5"/>
  <c r="L42" i="5"/>
  <c r="J42" i="5"/>
  <c r="I42" i="5"/>
  <c r="D42" i="5"/>
  <c r="M41" i="5"/>
  <c r="L41" i="5"/>
  <c r="L40" i="5" s="1"/>
  <c r="I41" i="5"/>
  <c r="I40" i="5" s="1"/>
  <c r="D41" i="5"/>
  <c r="D40" i="5"/>
  <c r="M44" i="5" s="1"/>
  <c r="L39" i="5"/>
  <c r="M39" i="5" s="1"/>
  <c r="I39" i="5"/>
  <c r="I37" i="5" s="1"/>
  <c r="D39" i="5"/>
  <c r="M38" i="5"/>
  <c r="M37" i="5" s="1"/>
  <c r="L38" i="5"/>
  <c r="I38" i="5"/>
  <c r="D38" i="5"/>
  <c r="L37" i="5"/>
  <c r="D37" i="5"/>
  <c r="J38" i="5" s="1"/>
  <c r="L36" i="5"/>
  <c r="J36" i="5"/>
  <c r="I36" i="5"/>
  <c r="D36" i="5"/>
  <c r="L35" i="5"/>
  <c r="M35" i="5" s="1"/>
  <c r="J35" i="5"/>
  <c r="I35" i="5"/>
  <c r="D35" i="5"/>
  <c r="M34" i="5"/>
  <c r="L34" i="5"/>
  <c r="J34" i="5"/>
  <c r="J33" i="5" s="1"/>
  <c r="I34" i="5"/>
  <c r="D34" i="5"/>
  <c r="I33" i="5"/>
  <c r="D33" i="5"/>
  <c r="M36" i="5" s="1"/>
  <c r="D32" i="5"/>
  <c r="L31" i="5"/>
  <c r="M31" i="5" s="1"/>
  <c r="I31" i="5"/>
  <c r="J31" i="5" s="1"/>
  <c r="D31" i="5"/>
  <c r="M30" i="5"/>
  <c r="L30" i="5"/>
  <c r="I30" i="5"/>
  <c r="D30" i="5"/>
  <c r="L29" i="5"/>
  <c r="L27" i="5" s="1"/>
  <c r="I29" i="5"/>
  <c r="J29" i="5" s="1"/>
  <c r="D29" i="5"/>
  <c r="L28" i="5"/>
  <c r="J28" i="5"/>
  <c r="J27" i="5" s="1"/>
  <c r="I28" i="5"/>
  <c r="D28" i="5"/>
  <c r="D27" i="5"/>
  <c r="J30" i="5" s="1"/>
  <c r="L26" i="5"/>
  <c r="J26" i="5"/>
  <c r="I26" i="5"/>
  <c r="D26" i="5"/>
  <c r="L25" i="5"/>
  <c r="I25" i="5"/>
  <c r="J25" i="5" s="1"/>
  <c r="D25" i="5"/>
  <c r="M24" i="5"/>
  <c r="L24" i="5"/>
  <c r="I24" i="5"/>
  <c r="D24" i="5"/>
  <c r="L23" i="5"/>
  <c r="L22" i="5" s="1"/>
  <c r="I23" i="5"/>
  <c r="I22" i="5" s="1"/>
  <c r="D23" i="5"/>
  <c r="D22" i="5"/>
  <c r="J24" i="5" s="1"/>
  <c r="L21" i="5"/>
  <c r="M21" i="5" s="1"/>
  <c r="I21" i="5"/>
  <c r="J21" i="5" s="1"/>
  <c r="D21" i="5"/>
  <c r="L20" i="5"/>
  <c r="I20" i="5"/>
  <c r="D20" i="5"/>
  <c r="L19" i="5"/>
  <c r="M19" i="5" s="1"/>
  <c r="I19" i="5"/>
  <c r="D19" i="5"/>
  <c r="D18" i="5"/>
  <c r="J19" i="5" s="1"/>
  <c r="D17" i="5"/>
  <c r="M16" i="5"/>
  <c r="L16" i="5"/>
  <c r="I16" i="5"/>
  <c r="D16" i="5"/>
  <c r="L15" i="5"/>
  <c r="L14" i="5" s="1"/>
  <c r="I15" i="5"/>
  <c r="I14" i="5" s="1"/>
  <c r="D15" i="5"/>
  <c r="D14" i="5"/>
  <c r="J16" i="5" s="1"/>
  <c r="L13" i="5"/>
  <c r="M13" i="5" s="1"/>
  <c r="I13" i="5"/>
  <c r="J13" i="5" s="1"/>
  <c r="D13" i="5"/>
  <c r="L12" i="5"/>
  <c r="M12" i="5" s="1"/>
  <c r="I12" i="5"/>
  <c r="D12" i="5"/>
  <c r="L11" i="5"/>
  <c r="M11" i="5" s="1"/>
  <c r="I11" i="5"/>
  <c r="D11" i="5"/>
  <c r="D10" i="5"/>
  <c r="J11" i="5" s="1"/>
  <c r="L9" i="5"/>
  <c r="I9" i="5"/>
  <c r="J9" i="5" s="1"/>
  <c r="D9" i="5"/>
  <c r="M8" i="5"/>
  <c r="L8" i="5"/>
  <c r="J8" i="5"/>
  <c r="I8" i="5"/>
  <c r="D8" i="5"/>
  <c r="L7" i="5"/>
  <c r="M7" i="5" s="1"/>
  <c r="I7" i="5"/>
  <c r="I5" i="5" s="1"/>
  <c r="D7" i="5"/>
  <c r="M6" i="5"/>
  <c r="L6" i="5"/>
  <c r="I6" i="5"/>
  <c r="J6" i="5" s="1"/>
  <c r="D6" i="5"/>
  <c r="L5" i="5"/>
  <c r="D5" i="5"/>
  <c r="M9" i="5" s="1"/>
  <c r="D4" i="5"/>
  <c r="D60" i="5" s="1"/>
  <c r="D60" i="4"/>
  <c r="C60" i="4"/>
  <c r="L59" i="4"/>
  <c r="M59" i="4" s="1"/>
  <c r="I59" i="4"/>
  <c r="J59" i="4" s="1"/>
  <c r="D59" i="4"/>
  <c r="L58" i="4"/>
  <c r="L57" i="4" s="1"/>
  <c r="I58" i="4"/>
  <c r="D58" i="4"/>
  <c r="D57" i="4"/>
  <c r="J58" i="4" s="1"/>
  <c r="J57" i="4" s="1"/>
  <c r="M56" i="4"/>
  <c r="L56" i="4"/>
  <c r="J56" i="4"/>
  <c r="I56" i="4"/>
  <c r="D56" i="4"/>
  <c r="M55" i="4"/>
  <c r="L55" i="4"/>
  <c r="J55" i="4"/>
  <c r="I55" i="4"/>
  <c r="D55" i="4"/>
  <c r="M54" i="4"/>
  <c r="M53" i="4" s="1"/>
  <c r="L54" i="4"/>
  <c r="J54" i="4"/>
  <c r="J53" i="4" s="1"/>
  <c r="J52" i="4" s="1"/>
  <c r="I54" i="4"/>
  <c r="D54" i="4"/>
  <c r="L53" i="4"/>
  <c r="I53" i="4"/>
  <c r="D53" i="4"/>
  <c r="D52" i="4"/>
  <c r="L51" i="4"/>
  <c r="M51" i="4" s="1"/>
  <c r="I51" i="4"/>
  <c r="J51" i="4" s="1"/>
  <c r="D51" i="4"/>
  <c r="L50" i="4"/>
  <c r="L49" i="4" s="1"/>
  <c r="I50" i="4"/>
  <c r="D50" i="4"/>
  <c r="D49" i="4"/>
  <c r="J50" i="4" s="1"/>
  <c r="M48" i="4"/>
  <c r="L48" i="4"/>
  <c r="J48" i="4"/>
  <c r="I48" i="4"/>
  <c r="D48" i="4"/>
  <c r="L47" i="4"/>
  <c r="J47" i="4"/>
  <c r="I47" i="4"/>
  <c r="D47" i="4"/>
  <c r="M46" i="4"/>
  <c r="L46" i="4"/>
  <c r="J46" i="4"/>
  <c r="J45" i="4" s="1"/>
  <c r="I46" i="4"/>
  <c r="D46" i="4"/>
  <c r="L45" i="4"/>
  <c r="I45" i="4"/>
  <c r="D45" i="4"/>
  <c r="M47" i="4" s="1"/>
  <c r="D44" i="4"/>
  <c r="L43" i="4"/>
  <c r="M43" i="4" s="1"/>
  <c r="I43" i="4"/>
  <c r="J43" i="4" s="1"/>
  <c r="D43" i="4"/>
  <c r="L42" i="4"/>
  <c r="M42" i="4" s="1"/>
  <c r="J42" i="4"/>
  <c r="I42" i="4"/>
  <c r="D42" i="4"/>
  <c r="L41" i="4"/>
  <c r="M41" i="4" s="1"/>
  <c r="I41" i="4"/>
  <c r="D41" i="4"/>
  <c r="D40" i="4"/>
  <c r="J41" i="4" s="1"/>
  <c r="J40" i="4" s="1"/>
  <c r="L39" i="4"/>
  <c r="J39" i="4"/>
  <c r="I39" i="4"/>
  <c r="D39" i="4"/>
  <c r="M38" i="4"/>
  <c r="L38" i="4"/>
  <c r="I38" i="4"/>
  <c r="D38" i="4"/>
  <c r="M37" i="4"/>
  <c r="L37" i="4"/>
  <c r="L36" i="4" s="1"/>
  <c r="I37" i="4"/>
  <c r="I36" i="4" s="1"/>
  <c r="D37" i="4"/>
  <c r="D36" i="4"/>
  <c r="J38" i="4" s="1"/>
  <c r="D35" i="4"/>
  <c r="L34" i="4"/>
  <c r="M34" i="4" s="1"/>
  <c r="J34" i="4"/>
  <c r="I34" i="4"/>
  <c r="D34" i="4"/>
  <c r="L33" i="4"/>
  <c r="M33" i="4" s="1"/>
  <c r="I33" i="4"/>
  <c r="D33" i="4"/>
  <c r="I32" i="4"/>
  <c r="D32" i="4"/>
  <c r="J33" i="4" s="1"/>
  <c r="J32" i="4" s="1"/>
  <c r="L31" i="4"/>
  <c r="J31" i="4"/>
  <c r="I31" i="4"/>
  <c r="D31" i="4"/>
  <c r="M30" i="4"/>
  <c r="L30" i="4"/>
  <c r="J30" i="4"/>
  <c r="J29" i="4" s="1"/>
  <c r="I30" i="4"/>
  <c r="D30" i="4"/>
  <c r="L29" i="4"/>
  <c r="I29" i="4"/>
  <c r="D29" i="4"/>
  <c r="M31" i="4" s="1"/>
  <c r="L28" i="4"/>
  <c r="I28" i="4"/>
  <c r="J28" i="4" s="1"/>
  <c r="D28" i="4"/>
  <c r="L27" i="4"/>
  <c r="M27" i="4" s="1"/>
  <c r="I27" i="4"/>
  <c r="J27" i="4" s="1"/>
  <c r="D27" i="4"/>
  <c r="L26" i="4"/>
  <c r="L25" i="4" s="1"/>
  <c r="I26" i="4"/>
  <c r="D26" i="4"/>
  <c r="D25" i="4"/>
  <c r="M28" i="4" s="1"/>
  <c r="M24" i="4"/>
  <c r="L24" i="4"/>
  <c r="J24" i="4"/>
  <c r="I24" i="4"/>
  <c r="D24" i="4"/>
  <c r="M23" i="4"/>
  <c r="L23" i="4"/>
  <c r="J23" i="4"/>
  <c r="J22" i="4" s="1"/>
  <c r="I23" i="4"/>
  <c r="I22" i="4" s="1"/>
  <c r="D23" i="4"/>
  <c r="M22" i="4"/>
  <c r="L22" i="4"/>
  <c r="D22" i="4"/>
  <c r="D21" i="4"/>
  <c r="L20" i="4"/>
  <c r="I20" i="4"/>
  <c r="J20" i="4" s="1"/>
  <c r="D20" i="4"/>
  <c r="L19" i="4"/>
  <c r="L18" i="4" s="1"/>
  <c r="I19" i="4"/>
  <c r="J19" i="4" s="1"/>
  <c r="J18" i="4" s="1"/>
  <c r="D19" i="4"/>
  <c r="D18" i="4"/>
  <c r="M20" i="4" s="1"/>
  <c r="L17" i="4"/>
  <c r="M17" i="4" s="1"/>
  <c r="M14" i="4" s="1"/>
  <c r="I17" i="4"/>
  <c r="D17" i="4"/>
  <c r="M16" i="4"/>
  <c r="L16" i="4"/>
  <c r="J16" i="4"/>
  <c r="I16" i="4"/>
  <c r="D16" i="4"/>
  <c r="M15" i="4"/>
  <c r="L15" i="4"/>
  <c r="J15" i="4"/>
  <c r="I15" i="4"/>
  <c r="I14" i="4" s="1"/>
  <c r="D15" i="4"/>
  <c r="D14" i="4"/>
  <c r="J17" i="4" s="1"/>
  <c r="L13" i="4"/>
  <c r="I13" i="4"/>
  <c r="J13" i="4" s="1"/>
  <c r="D13" i="4"/>
  <c r="L12" i="4"/>
  <c r="I12" i="4"/>
  <c r="J12" i="4" s="1"/>
  <c r="D12" i="4"/>
  <c r="L11" i="4"/>
  <c r="M11" i="4" s="1"/>
  <c r="I11" i="4"/>
  <c r="J11" i="4" s="1"/>
  <c r="D11" i="4"/>
  <c r="L10" i="4"/>
  <c r="L9" i="4" s="1"/>
  <c r="I10" i="4"/>
  <c r="I9" i="4" s="1"/>
  <c r="D10" i="4"/>
  <c r="D9" i="4"/>
  <c r="M12" i="4" s="1"/>
  <c r="M8" i="4"/>
  <c r="L8" i="4"/>
  <c r="J8" i="4"/>
  <c r="I8" i="4"/>
  <c r="D8" i="4"/>
  <c r="L7" i="4"/>
  <c r="J7" i="4"/>
  <c r="I7" i="4"/>
  <c r="D7" i="4"/>
  <c r="M6" i="4"/>
  <c r="M5" i="4" s="1"/>
  <c r="L6" i="4"/>
  <c r="J6" i="4"/>
  <c r="J5" i="4" s="1"/>
  <c r="I6" i="4"/>
  <c r="D6" i="4"/>
  <c r="L5" i="4"/>
  <c r="I5" i="4"/>
  <c r="D5" i="4"/>
  <c r="M7" i="4" s="1"/>
  <c r="D4" i="4"/>
  <c r="J14" i="4" l="1"/>
  <c r="M40" i="4"/>
  <c r="M45" i="4"/>
  <c r="M40" i="5"/>
  <c r="L47" i="5"/>
  <c r="J19" i="6"/>
  <c r="J27" i="6"/>
  <c r="M31" i="6"/>
  <c r="M24" i="7"/>
  <c r="M23" i="7" s="1"/>
  <c r="M29" i="4"/>
  <c r="M52" i="4"/>
  <c r="J5" i="5"/>
  <c r="M33" i="5"/>
  <c r="M32" i="5" s="1"/>
  <c r="M36" i="7"/>
  <c r="J44" i="7"/>
  <c r="J44" i="4"/>
  <c r="M32" i="4"/>
  <c r="I44" i="4"/>
  <c r="J49" i="4"/>
  <c r="M10" i="5"/>
  <c r="J18" i="5"/>
  <c r="J37" i="5"/>
  <c r="L4" i="6"/>
  <c r="M19" i="6"/>
  <c r="M27" i="6"/>
  <c r="M32" i="7"/>
  <c r="L21" i="4"/>
  <c r="L35" i="4"/>
  <c r="L44" i="4"/>
  <c r="M5" i="5"/>
  <c r="J12" i="7"/>
  <c r="M44" i="7"/>
  <c r="J4" i="6"/>
  <c r="L52" i="4"/>
  <c r="I32" i="5"/>
  <c r="M40" i="7"/>
  <c r="M39" i="7" s="1"/>
  <c r="I4" i="7"/>
  <c r="I47" i="7" s="1"/>
  <c r="M17" i="7"/>
  <c r="M16" i="7" s="1"/>
  <c r="M15" i="7" s="1"/>
  <c r="L16" i="7"/>
  <c r="L4" i="5"/>
  <c r="L60" i="5" s="1"/>
  <c r="J10" i="5"/>
  <c r="M5" i="6"/>
  <c r="I18" i="4"/>
  <c r="I4" i="4" s="1"/>
  <c r="M19" i="4"/>
  <c r="M18" i="4" s="1"/>
  <c r="L32" i="4"/>
  <c r="J37" i="4"/>
  <c r="J36" i="4" s="1"/>
  <c r="J35" i="4" s="1"/>
  <c r="L40" i="4"/>
  <c r="J7" i="5"/>
  <c r="L10" i="5"/>
  <c r="J15" i="5"/>
  <c r="J14" i="5" s="1"/>
  <c r="L18" i="5"/>
  <c r="L17" i="5" s="1"/>
  <c r="J23" i="5"/>
  <c r="J22" i="5" s="1"/>
  <c r="M29" i="5"/>
  <c r="J39" i="5"/>
  <c r="I52" i="5"/>
  <c r="I47" i="5" s="1"/>
  <c r="M53" i="5"/>
  <c r="M52" i="5" s="1"/>
  <c r="M7" i="6"/>
  <c r="J17" i="6"/>
  <c r="J16" i="6" s="1"/>
  <c r="J25" i="6"/>
  <c r="J23" i="6" s="1"/>
  <c r="J33" i="6"/>
  <c r="J31" i="6" s="1"/>
  <c r="I9" i="7"/>
  <c r="M10" i="7"/>
  <c r="M9" i="7" s="1"/>
  <c r="J26" i="7"/>
  <c r="J24" i="7" s="1"/>
  <c r="J23" i="7" s="1"/>
  <c r="J34" i="7"/>
  <c r="J32" i="7" s="1"/>
  <c r="J31" i="7" s="1"/>
  <c r="J42" i="7"/>
  <c r="J40" i="7" s="1"/>
  <c r="J39" i="7" s="1"/>
  <c r="J10" i="4"/>
  <c r="J9" i="4" s="1"/>
  <c r="J4" i="4" s="1"/>
  <c r="J26" i="4"/>
  <c r="J25" i="4" s="1"/>
  <c r="J21" i="4" s="1"/>
  <c r="J12" i="5"/>
  <c r="J20" i="5"/>
  <c r="M26" i="5"/>
  <c r="M15" i="5"/>
  <c r="M14" i="5" s="1"/>
  <c r="M23" i="5"/>
  <c r="J41" i="5"/>
  <c r="J40" i="5" s="1"/>
  <c r="J32" i="5" s="1"/>
  <c r="J49" i="5"/>
  <c r="J48" i="5" s="1"/>
  <c r="J57" i="5"/>
  <c r="J56" i="5" s="1"/>
  <c r="J11" i="6"/>
  <c r="J10" i="6" s="1"/>
  <c r="M17" i="6"/>
  <c r="M16" i="6" s="1"/>
  <c r="M15" i="6" s="1"/>
  <c r="J6" i="7"/>
  <c r="J5" i="7" s="1"/>
  <c r="J17" i="7"/>
  <c r="J16" i="7" s="1"/>
  <c r="J15" i="7" s="1"/>
  <c r="M10" i="4"/>
  <c r="M9" i="4" s="1"/>
  <c r="M4" i="4" s="1"/>
  <c r="I25" i="4"/>
  <c r="I21" i="4" s="1"/>
  <c r="M26" i="4"/>
  <c r="M25" i="4" s="1"/>
  <c r="M21" i="4" s="1"/>
  <c r="I49" i="4"/>
  <c r="M50" i="4"/>
  <c r="M49" i="4" s="1"/>
  <c r="I57" i="4"/>
  <c r="I52" i="4" s="1"/>
  <c r="M58" i="4"/>
  <c r="M57" i="4" s="1"/>
  <c r="M20" i="5"/>
  <c r="M18" i="5" s="1"/>
  <c r="I27" i="5"/>
  <c r="M28" i="5"/>
  <c r="M27" i="5" s="1"/>
  <c r="L33" i="5"/>
  <c r="L32" i="5" s="1"/>
  <c r="J54" i="5"/>
  <c r="J52" i="5" s="1"/>
  <c r="J47" i="5" s="1"/>
  <c r="I5" i="6"/>
  <c r="I4" i="6" s="1"/>
  <c r="I35" i="6" s="1"/>
  <c r="M14" i="6"/>
  <c r="M10" i="6" s="1"/>
  <c r="L19" i="6"/>
  <c r="L15" i="6" s="1"/>
  <c r="L27" i="6"/>
  <c r="L26" i="6" s="1"/>
  <c r="J11" i="7"/>
  <c r="J9" i="7" s="1"/>
  <c r="L20" i="7"/>
  <c r="L28" i="7"/>
  <c r="L23" i="7" s="1"/>
  <c r="L36" i="7"/>
  <c r="L31" i="7" s="1"/>
  <c r="L44" i="7"/>
  <c r="L39" i="7" s="1"/>
  <c r="M39" i="4"/>
  <c r="M36" i="4" s="1"/>
  <c r="M35" i="4" s="1"/>
  <c r="M25" i="5"/>
  <c r="M57" i="5"/>
  <c r="M56" i="5" s="1"/>
  <c r="M6" i="7"/>
  <c r="M5" i="7" s="1"/>
  <c r="M4" i="7" s="1"/>
  <c r="M13" i="4"/>
  <c r="L14" i="4"/>
  <c r="L4" i="4" s="1"/>
  <c r="L60" i="4" s="1"/>
  <c r="I40" i="4"/>
  <c r="I35" i="4" s="1"/>
  <c r="I10" i="5"/>
  <c r="I4" i="5" s="1"/>
  <c r="I18" i="5"/>
  <c r="J60" i="4" l="1"/>
  <c r="I60" i="4"/>
  <c r="I17" i="5"/>
  <c r="I60" i="5" s="1"/>
  <c r="M22" i="5"/>
  <c r="M17" i="5" s="1"/>
  <c r="M47" i="5"/>
  <c r="L15" i="7"/>
  <c r="L47" i="7" s="1"/>
  <c r="M31" i="7"/>
  <c r="M47" i="7" s="1"/>
  <c r="J4" i="5"/>
  <c r="J35" i="6"/>
  <c r="J26" i="6"/>
  <c r="M4" i="5"/>
  <c r="M26" i="6"/>
  <c r="M44" i="4"/>
  <c r="J4" i="7"/>
  <c r="J47" i="7" s="1"/>
  <c r="M60" i="4"/>
  <c r="M4" i="6"/>
  <c r="M35" i="6" s="1"/>
  <c r="L35" i="6"/>
  <c r="J15" i="6"/>
  <c r="J17" i="5"/>
  <c r="J60" i="5" l="1"/>
  <c r="M60" i="5"/>
</calcChain>
</file>

<file path=xl/sharedStrings.xml><?xml version="1.0" encoding="utf-8"?>
<sst xmlns="http://schemas.openxmlformats.org/spreadsheetml/2006/main" count="891" uniqueCount="747">
  <si>
    <t>RFP — Request for Proposal</t>
  </si>
  <si>
    <t>Transformación Digital — Inversora de Capilla S.A.</t>
  </si>
  <si>
    <t>OpenSource Consulting  ·  Grupo 3  ·  FCE-UBA  ·  2026</t>
  </si>
  <si>
    <t>Empresa solicitante</t>
  </si>
  <si>
    <t>Inversora de Capilla S.A.</t>
  </si>
  <si>
    <t>Consultora</t>
  </si>
  <si>
    <t>OpenSource Consulting</t>
  </si>
  <si>
    <t>Responsable sponsor</t>
  </si>
  <si>
    <t>Ramiro Illa y socio</t>
  </si>
  <si>
    <t>Fecha de emisión</t>
  </si>
  <si>
    <t>Junio, 2026</t>
  </si>
  <si>
    <t>Versión</t>
  </si>
  <si>
    <t>v4</t>
  </si>
  <si>
    <t>Ponderación global</t>
  </si>
  <si>
    <t>Funcional 45% | Técnico 15% | Económico 20% | Proveedor 20%</t>
  </si>
  <si>
    <t>Metodología adoptada</t>
  </si>
  <si>
    <t>TOGAF ADM</t>
  </si>
  <si>
    <t>Supuestos de evaluación</t>
  </si>
  <si>
    <t>Modelo de Innovación de Doblin</t>
  </si>
  <si>
    <t>Horizonte de evaluación: 3 años.</t>
  </si>
  <si>
    <t>Cantidad estimada: 5-15 usuarios.</t>
  </si>
  <si>
    <t>Modelo SaaS Cloud First.</t>
  </si>
  <si>
    <t>Matriz de ponderación</t>
  </si>
  <si>
    <t>Operación Argentina.</t>
  </si>
  <si>
    <t>Dimensión del RFP</t>
  </si>
  <si>
    <t>Ponderación</t>
  </si>
  <si>
    <t>Foco Crítico de Evaluación</t>
  </si>
  <si>
    <t>Aspecto Funcional</t>
  </si>
  <si>
    <t>Capacidad de cobertura del CRM comercial, embudo de ventas, repositorio documental unificado, automatización financiera y módulos de control de obra en campo.</t>
  </si>
  <si>
    <t>Aspecto Técnico</t>
  </si>
  <si>
    <t>Cumplimiento del modelo 100% SaaS nube, APIs de integración abierta, seguridad avanzada (MFA, RBAC), cifrado de datos (Ley 25.326) y disponibilidad del 99.5% uptime.</t>
  </si>
  <si>
    <t>Aspecto Económico</t>
  </si>
  <si>
    <t>Análisis del Costo Total de Propiedad (TCO) proyectado a 3 años, diferenciando claramente la inversión inicial (CAPEX) del costo operativo mensual de las suscripciones (OPEX).</t>
  </si>
  <si>
    <t>Aspecto Proveedor</t>
  </si>
  <si>
    <t>Idoneidad y experiencia en los sectores de Real Estate / PropTech, solidez legal y fiscal en Argentina (facturación ARS / AFIP) y planes estructurados de soporte con penalidades.</t>
  </si>
  <si>
    <t>Escalas</t>
  </si>
  <si>
    <t>NAT.</t>
  </si>
  <si>
    <t xml:space="preserve"> - Lo tiene de manera nativa</t>
  </si>
  <si>
    <t>INC.</t>
  </si>
  <si>
    <t>- No lo tiene pero nos lo incluye si lo compramos</t>
  </si>
  <si>
    <t>CONF.</t>
  </si>
  <si>
    <t xml:space="preserve">   - No lo tiene pero es configurable (cotizable)</t>
  </si>
  <si>
    <t>DES.</t>
  </si>
  <si>
    <t>- No lo tiene pero lo puede desarrollar</t>
  </si>
  <si>
    <t>N/A</t>
  </si>
  <si>
    <t>- No lo tiene / ni lo puede desarrollar</t>
  </si>
  <si>
    <t>— NOTA ACLARATORIA SOBRE USO DE ESCALAS —</t>
  </si>
  <si>
    <t>Aspectos Funcional y Técnico</t>
  </si>
  <si>
    <t>Las escalas NAT/INC/CONF/DES/N/A evalúan si la plataforma posee la funcionalidad o el atributo técnico de forma nativa, si puede incluirlo con adquisición de módulo adicional, si es configurable, si debe desarrollarse a medida o si directamente no lo ofrece ni puede ofrecerlo.</t>
  </si>
  <si>
    <t>Aspecto Económico — Escala adaptada</t>
  </si>
  <si>
    <t>Puntaje</t>
  </si>
  <si>
    <t>Descripción</t>
  </si>
  <si>
    <t>Ejemplos :</t>
  </si>
  <si>
    <t>Coste Total de Propiedad (TCO) a 3 años</t>
  </si>
  <si>
    <t>Muy competitivo</t>
  </si>
  <si>
    <t>TCO</t>
  </si>
  <si>
    <t>Competitivo</t>
  </si>
  <si>
    <t>≤ USD 10.000</t>
  </si>
  <si>
    <t>Aceptable</t>
  </si>
  <si>
    <t>USD 10.001–15.000</t>
  </si>
  <si>
    <t>Elevado</t>
  </si>
  <si>
    <t>USD 15.001–20.000</t>
  </si>
  <si>
    <t>Inviable</t>
  </si>
  <si>
    <t>USD 20.001–25.000</t>
  </si>
  <si>
    <t>&gt; USD 25.000</t>
  </si>
  <si>
    <t>Certificaciones</t>
  </si>
  <si>
    <t>Condición</t>
  </si>
  <si>
    <t>Licencias</t>
  </si>
  <si>
    <t>Sin certificaciones</t>
  </si>
  <si>
    <t>Licencia mensual</t>
  </si>
  <si>
    <t>ISO 27001 o equivalente</t>
  </si>
  <si>
    <t>≤ USD 50 por usuario</t>
  </si>
  <si>
    <t>ISO 27001 + SOC 2 + otras certificaciones relevantes</t>
  </si>
  <si>
    <t>USD 51–75</t>
  </si>
  <si>
    <t>USD 76–100</t>
  </si>
  <si>
    <t>Experiencia en la Industria</t>
  </si>
  <si>
    <t>USD 101–150</t>
  </si>
  <si>
    <t>(Aplica a experiencia inmobiliaria, construcción, PyMEs similares)</t>
  </si>
  <si>
    <t>&gt; USD 150</t>
  </si>
  <si>
    <t>Cumplimiento</t>
  </si>
  <si>
    <t>Criterio</t>
  </si>
  <si>
    <t>Más de 10 casos comprobables en la industria o segmento</t>
  </si>
  <si>
    <t>Entre 5 y 10 casos</t>
  </si>
  <si>
    <t>Entre 2 y 4 casos</t>
  </si>
  <si>
    <t>1 caso documentado</t>
  </si>
  <si>
    <t>Sin referencias relevantes</t>
  </si>
  <si>
    <t>Trayectoria y Solidez del Proveedor</t>
  </si>
  <si>
    <t>(Aplica a antigüedad, clientes, presencia internacional, estabilidad financiera)</t>
  </si>
  <si>
    <t>&gt;15 años en el mercado y presencia internacional consolidada</t>
  </si>
  <si>
    <t>10-15 años y presencia regional</t>
  </si>
  <si>
    <t>5-10 años y presencia nacional</t>
  </si>
  <si>
    <t>&lt;5 años o presencia limitada</t>
  </si>
  <si>
    <t>Sin evidencia suficiente</t>
  </si>
  <si>
    <t>Soporte y Servicio</t>
  </si>
  <si>
    <t>(Aplica a soporte en español, SLA, canales de atención)</t>
  </si>
  <si>
    <t>Soporte en español, múltiples canales, SLA formal 24x7</t>
  </si>
  <si>
    <t>Soporte en español con SLA en horario extendido</t>
  </si>
  <si>
    <t>Soporte en español sin SLA formal</t>
  </si>
  <si>
    <t>Soporte principalmente en inglés</t>
  </si>
  <si>
    <t>Sin soporte verificable</t>
  </si>
  <si>
    <t>Referencias y Satisfacción de Clientes</t>
  </si>
  <si>
    <t>(Aplica a casos de éxito, testimonios, reputación)</t>
  </si>
  <si>
    <t>Referencias verificables y alta satisfacción documentada</t>
  </si>
  <si>
    <t>Varias referencias positivas</t>
  </si>
  <si>
    <t>Algunas referencias positivas</t>
  </si>
  <si>
    <t>Pocas referencias disponibles</t>
  </si>
  <si>
    <t>Sin referencias</t>
  </si>
  <si>
    <t>Capacitación y Adopción</t>
  </si>
  <si>
    <t>(Aplica a onboarding, formación, documentación)</t>
  </si>
  <si>
    <t>Capacitación estructurada + documentación + academia</t>
  </si>
  <si>
    <t>Capacitación y documentación formal</t>
  </si>
  <si>
    <t>Documentación suficiente</t>
  </si>
  <si>
    <t>Documentación básica</t>
  </si>
  <si>
    <t>Sin recursos disponibles</t>
  </si>
  <si>
    <t>ASPECTO FUNCIONAL</t>
  </si>
  <si>
    <t>Peso relativo</t>
  </si>
  <si>
    <t>Detalle</t>
  </si>
  <si>
    <t>Comentarios</t>
  </si>
  <si>
    <t>Justificación</t>
  </si>
  <si>
    <t>MS Dynamics 365</t>
  </si>
  <si>
    <t>Zoho One</t>
  </si>
  <si>
    <t>Puntaje Ponderado</t>
  </si>
  <si>
    <t>Aporte Relativo</t>
  </si>
  <si>
    <t>A. CRM — Gestión de Relaciones con el Cliente</t>
  </si>
  <si>
    <t>1. Gestión de Contactos y Cuentas</t>
  </si>
  <si>
    <t>1.1 Ficha 360° del cliente</t>
  </si>
  <si>
    <t>Vista unificada del cliente: datos personales, propiedades de interés, operaciones realizadas e historial completo.</t>
  </si>
  <si>
    <t>Inversora de Capilla no tiene hoy un perfil unificado de cliente; la info está en WhatsApp, papel y planillas.</t>
  </si>
  <si>
    <t>Base del CRM: sin ficha 360° no existe trazabilidad comercial ni operativa.</t>
  </si>
  <si>
    <t>1.2 Segmentación de clientes</t>
  </si>
  <si>
    <t>Capacidad de crear segmentos y listas dinámicas por criterios: zona, tipo de propiedad, estado del ciclo, perfil inversor.</t>
  </si>
  <si>
    <t>Permite personalizar campañas y priorizar el seguimiento según el perfil del comprador.</t>
  </si>
  <si>
    <t>La segmentación es prerequisito de toda estrategia de marketing y retención.</t>
  </si>
  <si>
    <t>1.3 Historial completo y trazabilidad</t>
  </si>
  <si>
    <t>Registro cronológico de todas las interacciones: llamadas, reuniones, mails, visitas a obra y documentación compartida.</t>
  </si>
  <si>
    <t>2. Gestión Comercial y Pipeline</t>
  </si>
  <si>
    <t>2.1 CRM centralizado (leads, oportunidades, cuentas)</t>
  </si>
  <si>
    <t>Gestión de leads entrantes, conversión a oportunidades y seguimiento de cuentas activas desde una plataforma única.</t>
  </si>
  <si>
    <t>Reemplaza el seguimiento disperso en WhatsApp y 6 planillas Excel.</t>
  </si>
  <si>
    <t>Núcleo del CRM — sin esta funcionalidad no existe transformación comercial.</t>
  </si>
  <si>
    <t>2.2 Pipeline de ventas con etapas y probabilidad de cierre</t>
  </si>
  <si>
    <t>Embudo comercial configurable: etapas, propietarios, fechas estimadas y probabilidad de conversión por oportunidad.</t>
  </si>
  <si>
    <t>2.3 Lead scoring y calificación automática</t>
  </si>
  <si>
    <t>Puntuación automática de leads según comportamiento, origen, perfil y engagement para priorizar el equipo de ventas.</t>
  </si>
  <si>
    <t>Con 40-70 leads potenciales simultáneos, la priorización manual genera pérdida de oportunidades.</t>
  </si>
  <si>
    <t>Maximiza el ROI del equipo comercial reduciendo el tiempo dedicado a leads no calificados.</t>
  </si>
  <si>
    <t>2.4 Automatización de workflows comerciales</t>
  </si>
  <si>
    <t>Reglas automáticas: asignación de leads, envío de recordatorios, creación de tareas y actualización de estados sin intervención manual.</t>
  </si>
  <si>
    <t>Actualmente cada paso comercial requiere acción manual, generando omisiones y desvíos.</t>
  </si>
  <si>
    <t>Componente clave de la automatización comercial — reduce carga sobre el equipo de ventas.</t>
  </si>
  <si>
    <t>3. Marketing y Campañas</t>
  </si>
  <si>
    <t>3.1 Segmentación y listas dinámicas para campañas</t>
  </si>
  <si>
    <t>Definición de audiencias dinámicas para campañas basadas en atributos del CRM (zona, estado, interés, historial).</t>
  </si>
  <si>
    <t>Permite comunicar la oferta correcta al cliente correcto en el momento adecuado.</t>
  </si>
  <si>
    <t>Sin segmentación dinámica, las campañas pierden precisión y generan fatiga en los contactos.</t>
  </si>
  <si>
    <t>3.2 Campañas masivas multi-canal (email / WhatsApp)</t>
  </si>
  <si>
    <t>Ejecución de campañas de comunicación masiva desde el CRM hacia los canales preferidos del cliente.</t>
  </si>
  <si>
    <t>Hoy la comunicación es manual, uno a uno, por WhatsApp personal de cada vendedor.</t>
  </si>
  <si>
    <t>Escala el alcance comercial sin escalar la estructura de personal.</t>
  </si>
  <si>
    <t>3.3 Trazabilidad multicanal del cliente</t>
  </si>
  <si>
    <t>Registro unificado de interacciones por email, WhatsApp, llamadas y visitas en el perfil del cliente.</t>
  </si>
  <si>
    <t>4. Postventa y Fidelización</t>
  </si>
  <si>
    <t>4.1 Gestión postventa y satisfacción del cliente</t>
  </si>
  <si>
    <t>Seguimiento de compradores post-entrega: relevamiento de satisfacción, gestión de reclamos y alertas de vencimientos.</t>
  </si>
  <si>
    <t>4.2 Portal o historial de servicio post-entrega</t>
  </si>
  <si>
    <t>Acceso del cliente a documentación, comprobantes, estado de obra y comunicaciones históricas.</t>
  </si>
  <si>
    <t>Reduce consultas recurrentes al equipo y mejora la percepción de transparencia.</t>
  </si>
  <si>
    <t>Diferenciador de propuesta de valor para un mercado donde la confianza es clave.</t>
  </si>
  <si>
    <t>B. BI — Business Intelligence</t>
  </si>
  <si>
    <t>5. Integración de Datos y Repositorio Analítico</t>
  </si>
  <si>
    <t>5.1 ETL / Conectores nativos desde CRM, proyectos y finanzas</t>
  </si>
  <si>
    <t>Capacidad de extraer, transformar y cargar datos desde los módulos operativos al repositorio analítico sin intervención manual.</t>
  </si>
  <si>
    <t>Sin ETL, el BI requiere exportaciones manuales periódicas desde las planillas.</t>
  </si>
  <si>
    <t>Prerequisito técnico para cualquier análisis actualizado y confiable.</t>
  </si>
  <si>
    <t>5.2 Repositorio analítico unificado (data mart / DWH básico)</t>
  </si>
  <si>
    <t>Modelo de datos histórico y consistente que centraliza métricas de ventas, costos, proyectos y clientes para análisis.</t>
  </si>
  <si>
    <t>Un repositorio unificado elimina la contradicción de datos entre áreas.</t>
  </si>
  <si>
    <t>Fundamento del análisis multidimensional y la toma de decisiones basada en datos.</t>
  </si>
  <si>
    <t>6. Análisis, Visualización e Indicadores</t>
  </si>
  <si>
    <t>6.1 Dashboards ejecutivos con KPIs configurables</t>
  </si>
  <si>
    <t>Paneles interactivos con indicadores clave: ventas, rentabilidad por proyecto, avance de obra y flujo de caja en tiempo real.</t>
  </si>
  <si>
    <t>Hoy las decisiones se toman sin datos consolidados; los directivos no tienen visibilidad unificada.</t>
  </si>
  <si>
    <t>Impacto directo en calidad de decisiones estratégicas.</t>
  </si>
  <si>
    <t>6.2 Reportes estándar y personalizados por área</t>
  </si>
  <si>
    <t>Generación de informes por área (comercial, financiero, obra) con filtros, exportación y programación de envío.</t>
  </si>
  <si>
    <t>Elimina el armado manual de reportes en Excel que hoy consume horas semanales del equipo.</t>
  </si>
  <si>
    <t>Libera tiempo operativo y mejora la exactitud de la información reportada.</t>
  </si>
  <si>
    <t>6.3 Análisis ad-hoc y drill-down por dimensión</t>
  </si>
  <si>
    <t>Capacidad del usuario de explorar datos dinámicamente (por zona, período, proyecto, vendedor) sin depender de IT.</t>
  </si>
  <si>
    <t>Permite responder preguntas no planificadas ante situaciones concretas de negocio.</t>
  </si>
  <si>
    <t>Autoservicio analítico — requisito de madurez básico para una empresa en transformación.</t>
  </si>
  <si>
    <t>7. Alertas y Proyecciones</t>
  </si>
  <si>
    <t>7.1 Alertas automáticas ante desvíos de KPIs</t>
  </si>
  <si>
    <t>Notificaciones proactivas cuando indicadores superan umbrales: retraso de obra, caída de conversión, déficit de caja.</t>
  </si>
  <si>
    <t>Elimina el control manual con planillas estáticas que detectan problemas tarde.</t>
  </si>
  <si>
    <t>Control preventivo — reduce impacto de desvíos al identificarlos tempranamente.</t>
  </si>
  <si>
    <t>7.2 Forecasting y proyecciones básicas de ventas/costos</t>
  </si>
  <si>
    <t>Proyecciones automáticas de ventas, costos y rentabilidad basadas en el historial y el pipeline actual.</t>
  </si>
  <si>
    <t>Inversora de Capilla toma decisiones de inversión sin proyecciones formales.</t>
  </si>
  <si>
    <t>Crítico para la planificación financiera y la gestión de riesgo de proyectos.</t>
  </si>
  <si>
    <t>8. Distribución y Acceso</t>
  </si>
  <si>
    <t>8.1 Acceso móvil a dashboards y reportes</t>
  </si>
  <si>
    <t>Visualización y navegación de indicadores desde smartphones y tablets.</t>
  </si>
  <si>
    <t>Los directivos operan desde Los Cardales — el acceso móvil es requisito operativo.</t>
  </si>
  <si>
    <t>Alineado con el requisito cloud-first y la gestión remota.</t>
  </si>
  <si>
    <t>8.2 Exportación y distribución programada de informes</t>
  </si>
  <si>
    <t>Envío automático de reportes por email a frecuencias configurables (semanal, mensual).</t>
  </si>
  <si>
    <t>Garantiza que los directivos reciban información sin tener que acceder activamente al sistema.</t>
  </si>
  <si>
    <t>Mejora la adopción del BI al llevar los datos a donde ya trabaja el equipo.</t>
  </si>
  <si>
    <t>C. MDM — Gestión de Datos Maestros</t>
  </si>
  <si>
    <t>9. Repositorio Único de Entidades</t>
  </si>
  <si>
    <t>9.1 Golden record del cliente (entidad única)</t>
  </si>
  <si>
    <t>Registro único, deduplicado y autoritativo de cada cliente, usado por todos los módulos del sistema.</t>
  </si>
  <si>
    <t>Hoy la misma persona puede existir en múltiples planillas con datos inconsistentes.</t>
  </si>
  <si>
    <t>Es la condición para que el CRM, BI y Finanzas hablen del mismo cliente.</t>
  </si>
  <si>
    <t>9.2 Maestro de proyectos y propiedades</t>
  </si>
  <si>
    <t>Catálogo único de proyectos, unidades y propiedades con sus atributos, estados y referencias cruzadas.</t>
  </si>
  <si>
    <t>Sin un maestro único, los mismos proyectos tienen datos distintos en CRM, obra y finanzas.</t>
  </si>
  <si>
    <t>Prerequisito para la gestión integrada del ciclo del proyecto inmobiliario.</t>
  </si>
  <si>
    <t>9.3 Maestro de contratistas y proveedores</t>
  </si>
  <si>
    <t>Registro centralizado de contratistas y proveedores con datos de contacto, categoría, historial y habilitaciones.</t>
  </si>
  <si>
    <t>Hoy hay 40-70 contratistas sin un registro formal ni estandarizado.</t>
  </si>
  <si>
    <t>Permite gestionar contratos, pagos y seguimiento de obra desde una fuente única.</t>
  </si>
  <si>
    <t>10. Calidad y Gobierno de Datos</t>
  </si>
  <si>
    <t>10.1 Deduplicación y normalización de registros</t>
  </si>
  <si>
    <t>Detección y fusión automática de registros duplicados; normalización de campos clave (nombres, direcciones, CUIT).</t>
  </si>
  <si>
    <t>La migración desde 6 planillas generará inevitablemente duplicados sin herramientas de limpieza.</t>
  </si>
  <si>
    <t>Calidad del dato desde el día 1 — impacta directamente en la confianza del sistema.</t>
  </si>
  <si>
    <t>10.2 Validación y completitud de datos obligatorios</t>
  </si>
  <si>
    <t>Reglas de validación que impiden guardar registros incompletos en campos críticos (CUIT, DNI, email, dirección).</t>
  </si>
  <si>
    <t>Datos incompletos en el CRM degradan la calidad de los reportes y las campañas.</t>
  </si>
  <si>
    <t>Control preventivo sobre la calidad del input en el origen.</t>
  </si>
  <si>
    <t>10.3 Auditoría y trazabilidad de cambios en datos maestros</t>
  </si>
  <si>
    <t>Log de quién modificó qué dato maestro, cuándo y con qué valor anterior — trazabilidad completa.</t>
  </si>
  <si>
    <t>Cumplimiento Ley 25.326: exige trazabilidad de modificaciones sobre datos personales.</t>
  </si>
  <si>
    <t>Requisito legal y de gobierno de datos en contexto argentino.</t>
  </si>
  <si>
    <t>D. Gestión de Proyectos y Obra</t>
  </si>
  <si>
    <t>11. Planificación y Control de Obra</t>
  </si>
  <si>
    <t>11.1 Proyectos con hitos, tareas y responsables</t>
  </si>
  <si>
    <t>Creación de proyectos con fases, hitos, tareas asignadas a responsables y fechas de cumplimiento.</t>
  </si>
  <si>
    <t>Hoy la coordinación de obra se hace por WhatsApp con 40-70 contratistas — sin trazabilidad.</t>
  </si>
  <si>
    <t>Clave para la escalabilidad operativa y la reducción de dependencia en personas clave.</t>
  </si>
  <si>
    <t>11.2 Seguimiento de contratistas en campo</t>
  </si>
  <si>
    <t>Control de avance y cumplimiento de subcontratistas: check-ins de obra, reportes de progreso y alertas de retraso.</t>
  </si>
  <si>
    <t>Alta dependencia de llamadas y decisiones ad hoc — riesgo de desvíos no detectados.</t>
  </si>
  <si>
    <t>Reduce riesgo operativo de obra y mejora la coordinación del equipo externo.</t>
  </si>
  <si>
    <t>11.3 Control de cronograma con Gantt / Timeline</t>
  </si>
  <si>
    <t>Visualización del cronograma de obra en formato Gantt con dependencias entre tareas y seguimiento de desvíos.</t>
  </si>
  <si>
    <t>Sin cronograma visual, los directivos no tienen visibilidad del estado real de avance.</t>
  </si>
  <si>
    <t>Herramienta estándar de gestión de proyectos — baseline de cualquier solución PM.</t>
  </si>
  <si>
    <t>12. Documentación de Obra</t>
  </si>
  <si>
    <t>12.1 Repositorio documental (planos, contratos, permisos)</t>
  </si>
  <si>
    <t>Almacenamiento centralizado de documentos técnicos y legales con control de versiones y permisos de acceso.</t>
  </si>
  <si>
    <t>Actualmente documentación en papel, sin versiones ni trazabilidad — riesgo legal alto.</t>
  </si>
  <si>
    <t>Digitalización documental — reduce riesgo legal y mejora la eficiencia operativa.</t>
  </si>
  <si>
    <t>12.2 Digitalización y acceso móvil a documentos</t>
  </si>
  <si>
    <t>Acceso desde smartphones o tablets a planos, memorias y especificaciones técnicas desde el campo.</t>
  </si>
  <si>
    <t>Los responsables de obra en Los Cardales necesitan acceso remoto a documentación actualizada.</t>
  </si>
  <si>
    <t>Alineado con el requisito cloud-first y la operación desde múltiples locaciones.</t>
  </si>
  <si>
    <t>E. Finanzas y Administración</t>
  </si>
  <si>
    <t>13. Contabilidad Operativa</t>
  </si>
  <si>
    <t>13.1 Registro automático de ingresos y gastos</t>
  </si>
  <si>
    <t>Carga y categorización automática de transacciones desde las operaciones del CRM y proyectos.</t>
  </si>
  <si>
    <t>Hoy se carga manualmente en Excel con alto riesgo de error y demora.</t>
  </si>
  <si>
    <t>Reduce carga operativa y mejora la exactitud financiera.</t>
  </si>
  <si>
    <t>13.2 Facturación y comprobantes compatibles AFIP</t>
  </si>
  <si>
    <t>Emisión de facturas electrónicas, recibos y comprobantes integrados con los requisitos de AFIP (factura A/B, CUIT, etc.).</t>
  </si>
  <si>
    <t>Operación 100% en Argentina — la compatibilidad AFIP no es opcional.</t>
  </si>
  <si>
    <t>Prerequisito legal; su ausencia obliga a mantener un sistema paralelo de facturación.</t>
  </si>
  <si>
    <t>13.3 Flujo de caja y gestión de pagos</t>
  </si>
  <si>
    <t>Proyección y control del flujo de caja: cobros por unidad, pagos a contratistas y saldos por proyecto.</t>
  </si>
  <si>
    <t>El flujo de caja es un riesgo crítico en proyectos inmobiliarios con ciclos de 24-36 meses.</t>
  </si>
  <si>
    <t>Control financiero básico que hoy se hace manualmente en planillas.</t>
  </si>
  <si>
    <t>14. Control de Costos de Proyecto</t>
  </si>
  <si>
    <t>14.1 Presupuesto vs. real por proyecto</t>
  </si>
  <si>
    <t>Comparación en tiempo real del costo presupuestado vs. el ejecutado por proyecto, fase y contratista.</t>
  </si>
  <si>
    <t>Sin control de costos automático, los desvíos se detectan tarde, cuando el impacto ya es alto.</t>
  </si>
  <si>
    <t>Gestión financiera de proyectos — baseline en cualquier solución de PM+Finanzas integrada.</t>
  </si>
  <si>
    <t>14.2 Rentabilidad por proyecto y unidad de negocio</t>
  </si>
  <si>
    <t>Cálculo de margen de rentabilidad por proyecto, desagregado por unidad (piso, lote, departamento).</t>
  </si>
  <si>
    <t>Inversora de Capilla no tiene hoy visibilidad de rentabilidad real por proyecto.</t>
  </si>
  <si>
    <t>Dato crítico para decisiones de inversión y de pricing en futuros proyectos.</t>
  </si>
  <si>
    <t>TOTALES</t>
  </si>
  <si>
    <t>ASPECTO TECNICO</t>
  </si>
  <si>
    <t>A. Infraestructura</t>
  </si>
  <si>
    <t>1. Cloud</t>
  </si>
  <si>
    <t>1.1 Despliegue SaaS Multi-Tenant</t>
  </si>
  <si>
    <t>Plataforma alojada en la nube del proveedor, accesible desde cualquier navegador sin instalación local. El proveedor gestiona infraestructura, actualizaciones y mantenimiento.</t>
  </si>
  <si>
    <t>Inversora de Capilla no cuenta con infraestructura IT propia ni personal técnico interno — el modelo SaaS elimina ese requisito desde el inicio.</t>
  </si>
  <si>
    <t>El mandato cloud-first del RFP excluye soluciones on-premise; el SaaS multi-tenant garantiza actualizaciones automáticas y costos predecibles de operación.</t>
  </si>
  <si>
    <t>1.2 Alta disponibilidad (HA)</t>
  </si>
  <si>
    <t>Arquitectura con redundancia activa que minimiza el tiempo de inactividad no planificado mediante failover automático entre nodos o regiones.</t>
  </si>
  <si>
    <t>Una caída del sistema durante el proceso de venta de una unidad puede generar pérdida de la operación y deterioro inmediato de la confianza del cliente.</t>
  </si>
  <si>
    <t>La alta disponibilidad es prerrequisito operativo para una empresa cuyo negocio core depende de la plataforma — sin ella el modelo digital pierde su promesa de valor.</t>
  </si>
  <si>
    <t>1.3 Escalabilidad automática</t>
  </si>
  <si>
    <t>Capacidad de la plataforma de ajustar automáticamente los recursos de cómputo ante picos de demanda sin intervención manual ni degradación del servicio.</t>
  </si>
  <si>
    <t>Aunque hoy son 5-15 usuarios, la empresa prevé crecer en volumen de proyectos y personal; la plataforma debe acompañar ese crecimiento sin migraciones costosas.</t>
  </si>
  <si>
    <t>Evita la necesidad de re-implementaciones al escalar y protege la inversión inicial — clave en una empresa en etapa de transformación y crecimiento.</t>
  </si>
  <si>
    <t>1.4 SLA ≥ 99,9%</t>
  </si>
  <si>
    <t>Compromiso contractual del proveedor de disponibilidad mínima del 99,9% mensual, equivalente a menos de 9 horas de inactividad no planificada al año.</t>
  </si>
  <si>
    <t>El RFP establece como requisito técnico un uptime de 99,5%; el nivel de exigencia 99,9% representa el estándar de referencia del mercado SaaS empresarial.</t>
  </si>
  <si>
    <t>Un SLA formalizado con penalidades establece responsabilidad del proveedor y protege a Inversora de Capilla ante interrupciones que afecten operaciones comerciales.</t>
  </si>
  <si>
    <t>2. Acceso</t>
  </si>
  <si>
    <t>2.1 Acceso Web</t>
  </si>
  <si>
    <t>Interfaz de usuario accesible desde cualquier navegador estándar (Chrome, Firefox, Edge, Safari) sin plugins adicionales ni requisitos de sistema operativo específico.</t>
  </si>
  <si>
    <t>El equipo opera desde Buenos Aires y Los Cardales; el acceso web universal elimina barreras de dispositivo y ubicación para toda la operación.</t>
  </si>
  <si>
    <t>Requisito base del modelo cloud-first — sin acceso web universal no existe movilidad operativa ni la posibilidad de trabajar desde múltiples locaciones.</t>
  </si>
  <si>
    <t>2.2 Aplicación móvil</t>
  </si>
  <si>
    <t>Aplicación nativa o PWA para iOS y Android que permite operar las funcionalidades clave desde smartphones y tablets sin degradación de la experiencia de usuario.</t>
  </si>
  <si>
    <t>Los directivos y responsables de obra en Los Cardales requieren acceso móvil para operar sin depender de una PC de escritorio en campo.</t>
  </si>
  <si>
    <t>La operación en campo es un caso de uso central de Inversora de Capilla — sin app móvil funcional se pierden los beneficios del modelo digital para obra.</t>
  </si>
  <si>
    <t>2.3 Soporte multiplataforma</t>
  </si>
  <si>
    <t>Compatibilidad verificada con los principales sistemas operativos (Windows, macOS, Android, iOS) y navegadores del mercado sin pérdida de funcionalidad.</t>
  </si>
  <si>
    <t>El equipo de Inversora de Capilla usa distintos dispositivos sin un estándar corporativo definido — la diversidad tecnológica del equipo es la norma.</t>
  </si>
  <si>
    <t>La diversidad de dispositivos en una PyME sin IT hace crítica la compatibilidad amplia para garantizar adopción real y evitar exclusiones involuntarias.</t>
  </si>
  <si>
    <t>3. Rendimiento</t>
  </si>
  <si>
    <t>3.1 Tiempo de respuesta configurable</t>
  </si>
  <si>
    <t>Capacidad de ajustar parámetros de performance (timeouts, caché, frecuencia de actualización) según necesidades operativas y condiciones de conectividad de la empresa.</t>
  </si>
  <si>
    <t>Conexiones desde Los Cardales pueden tener latencia variable — la configurabilidad permite adaptar la plataforma a esas condiciones de conectividad.</t>
  </si>
  <si>
    <t>La performance percibida impacta directamente en la tasa de adopción del sistema — un sistema lento es un sistema abandonado.</t>
  </si>
  <si>
    <t>3.2 Monitoreo de performance</t>
  </si>
  <si>
    <t>Panel o dashboard de métricas de performance del sistema: tiempos de carga, disponibilidad, errores y uso de recursos en tiempo real o near-real-time.</t>
  </si>
  <si>
    <t>Sin monitoreo, los problemas de performance solo se detectan cuando ya afectan al usuario; el diagnóstico proactivo reduce el impacto operativo.</t>
  </si>
  <si>
    <t>Habilita la gestión proactiva de la plataforma y la comunicación formal con el proveedor ante incumplimientos de SLA — condición de accountability técnico.</t>
  </si>
  <si>
    <t>B. Integración</t>
  </si>
  <si>
    <t>4. APIs</t>
  </si>
  <si>
    <t>4.1 APIs REST nativas</t>
  </si>
  <si>
    <t>Conjunto de endpoints REST publicados nativamente por la plataforma para acceso programático a entidades, operaciones y datos desde sistemas externos.</t>
  </si>
  <si>
    <t>Inversora de Capilla puede necesitar integrar portales inmobiliarios (Properati, Zonaprop) o sistemas contables externos vía API en una segunda fase.</t>
  </si>
  <si>
    <t>Las APIs REST son el estándar de integración del ecosistema SaaS — su ausencia cierra la posibilidad de conectar con cualquier herramienta de terceros.</t>
  </si>
  <si>
    <t>4.2 APIs documentadas</t>
  </si>
  <si>
    <t>Documentación técnica completa y actualizada de los endpoints REST: especificación OpenAPI/Swagger, ejemplos de uso, autenticación y límites de tasa.</t>
  </si>
  <si>
    <t>Una API sin documentación adecuada requiere ingeniería inversa costosa, elevando el costo de integración para cualquier partner implementador o desarrollo interno.</t>
  </si>
  <si>
    <t>La calidad de la documentación define la velocidad y el costo de cualquier integración futura — es determinante del TCO real más allá del precio de lista.</t>
  </si>
  <si>
    <t>4.3 Webhooks</t>
  </si>
  <si>
    <t>Mecanismo de notificación push que dispara llamadas HTTP a sistemas externos ante eventos internos de la plataforma (nuevo lead, cambio de estado, pago registrado).</t>
  </si>
  <si>
    <t>Los webhooks permiten automatizar flujos con herramientas externas (Zapier, Make, sistemas propios) sin polling constante que consuma recursos.</t>
  </si>
  <si>
    <t>Habilitan integraciones en tiempo real más eficientes que el polling periódico, reduciendo complejidad y costo operativo de cualquier integración futura.</t>
  </si>
  <si>
    <t>5. Datos</t>
  </si>
  <si>
    <t>5.1 Importación masiva</t>
  </si>
  <si>
    <t>Herramienta nativa para carga masiva de registros desde archivos CSV, Excel u otros formatos estructurados hacia las entidades clave de la plataforma.</t>
  </si>
  <si>
    <t>La migración desde las 6 planillas Excel actuales requiere importación masiva — sin esta capacidad la carga inicial es manual, lenta y propensa a errores.</t>
  </si>
  <si>
    <t>Condición técnica para que la migración de datos históricos sea viable, rápida y confiable desde el día 1 de operación del nuevo sistema.</t>
  </si>
  <si>
    <t>5.2 Exportación masiva</t>
  </si>
  <si>
    <t>Capacidad de extraer la totalidad de los propios datos en formatos estándar (CSV, Excel, JSON) sin restricciones de volumen ni dependencia del proveedor.</t>
  </si>
  <si>
    <t>El derecho a exportar los propios datos es un principio de soberanía de datos — crítico para evitar vendor lock-in y proteger la continuidad del negocio.</t>
  </si>
  <si>
    <t>Protege ante un cambio de proveedor y garantiza el cumplimiento de la Ley 25.326 sobre habeas data y portabilidad de la información.</t>
  </si>
  <si>
    <t>5.3 ETL / ELT</t>
  </si>
  <si>
    <t>Pipelines nativos o conectores certificados para extraer, transformar y cargar datos entre la plataforma y repositorios analíticos externos de forma automatizada.</t>
  </si>
  <si>
    <t>Sin ETL automatizado, el BI requiere exportaciones manuales periódicas que consumen tiempo y generan datos desactualizados para la toma de decisiones.</t>
  </si>
  <si>
    <t>Es el prerrequisito técnico para el análisis en tiempo real y la construcción de un repositorio analítico unificado — base del BI mencionado en el aspecto funcional.</t>
  </si>
  <si>
    <t>5.4 Sincronización bidireccional</t>
  </si>
  <si>
    <t>Capacidad de mantener datos coherentes en tiempo real entre la plataforma y sistemas externos (contabilidad, portales, ERP) con actualización en ambas direcciones.</t>
  </si>
  <si>
    <t>Un registro actualizado en el CRM debe reflejarse automáticamente en el sistema contable y viceversa — sin esto hay doble carga manual y riesgo de inconsistencias.</t>
  </si>
  <si>
    <t>Elimina la necesidad de mantener datos en paralelo en múltiples sistemas, reduciendo errores de ingreso y carga operativa del equipo administrativo.</t>
  </si>
  <si>
    <t>6. Ecosistema</t>
  </si>
  <si>
    <t>6.1 Microsoft 365</t>
  </si>
  <si>
    <t>Integración nativa con el ecosistema Microsoft 365: sincronización de correo (Outlook), calendario (Teams/Calendar), OneDrive y almacenamiento de documentos.</t>
  </si>
  <si>
    <t>Si el equipo ya usa Outlook o Teams, la integración reduce la curva de adopción al conectar el CRM con herramientas que el equipo ya conoce y utiliza a diario.</t>
  </si>
  <si>
    <t>Microsoft 365 es el entorno de productividad más difundido en PyMEs argentinas — la integración nativa acelera la adopción y reduce la resistencia al cambio.</t>
  </si>
  <si>
    <t>6.2 Power BI</t>
  </si>
  <si>
    <t>Conector certificado con Microsoft Power BI para visualización avanzada de datos y construcción de reportes personalizados sobre los datos de la plataforma.</t>
  </si>
  <si>
    <t>Si la empresa ya utiliza o planea incorporar Power BI, la integración nativa evita duplicar el esfuerzo de análisis y extrae mayor valor del dato ya capturado.</t>
  </si>
  <si>
    <t>Power BI es la herramienta de BI más utilizada en el segmento empresarial; la integración nativa amplía las capacidades analíticas sin costo adicional de desarrollo.</t>
  </si>
  <si>
    <t>6.3 Google Workspace</t>
  </si>
  <si>
    <t>Integración nativa con Google Workspace: sincronización de Gmail, Google Calendar, Google Drive y Google Meet para el equipo que use este ecosistema.</t>
  </si>
  <si>
    <t>Una parte del equipo puede usar Gmail y Google Calendar como herramientas primarias — la integración sincroniza actividad sin duplicación manual de registros.</t>
  </si>
  <si>
    <t>Google Workspace es alternativa frecuente en PyMEs; la integración garantiza flexibilidad ante distintas preferencias tecnológicas del equipo.</t>
  </si>
  <si>
    <t>6.4 ERP externos</t>
  </si>
  <si>
    <t>Conectores o adaptadores para integración con sistemas ERP presentes en el mercado argentino (Tango Gestión, Bejerman, SAP B1 u otros de uso frecuente local).</t>
  </si>
  <si>
    <t>Inversora de Capilla puede tener o incorporar un sistema contable/ERP — la integración evita doble carga de datos entre el CRM y la herramienta contable.</t>
  </si>
  <si>
    <t>La coexistencia de CRM y ERP es frecuente en PyMEs argentinas — la integración nativa reduce el costo total de integración y los errores de doble ingreso.</t>
  </si>
  <si>
    <t>C. Seguridad</t>
  </si>
  <si>
    <t>7. Identidad</t>
  </si>
  <si>
    <t>7.1 MFA</t>
  </si>
  <si>
    <t>Autenticación multifactor obligatoria o configurable mediante código SMS, autenticador TOTP (Google/Microsoft Authenticator) o llaves de seguridad físicas.</t>
  </si>
  <si>
    <t>Inversora de Capilla maneja datos de clientes con CUIT, DNI y datos patrimoniales — el MFA es la primera línea de defensa ante accesos no autorizados.</t>
  </si>
  <si>
    <t>Requisito explícito del RFP en el aspecto técnico; el MFA es el control de identidad más efectivo contra ataques de credential stuffing y phishing.</t>
  </si>
  <si>
    <t>7.2 SSO</t>
  </si>
  <si>
    <t>Single Sign-On que permite acceder a la plataforma con las mismas credenciales corporativas (Microsoft, Google) sin gestionar contraseñas adicionales.</t>
  </si>
  <si>
    <t>El SSO simplifica la gestión de accesos y reduce la fricción de adopción para el equipo — una credencial menos que recordar y gestionar.</t>
  </si>
  <si>
    <t>Mejora la experiencia del usuario y centraliza la gestión de identidad, reduciendo el riesgo de contraseñas débiles o reutilizadas en cuentas sensibles.</t>
  </si>
  <si>
    <t>7.3 Integración con Azure AD</t>
  </si>
  <si>
    <t>Integración nativa con Azure Active Directory / Microsoft Entra ID para autenticación federada, gestión de grupos y políticas de acceso corporativas.</t>
  </si>
  <si>
    <t>Relevante si la empresa escala hacia el ecosistema Microsoft 365; permite gestionar usuarios desde un directorio centralizado sin duplicar la administración.</t>
  </si>
  <si>
    <t>Azure AD es el directorio corporativo más extendido en el mercado empresarial argentino — la integración nativa es un diferenciador de madurez técnica en evaluación.</t>
  </si>
  <si>
    <t>8. Autorización</t>
  </si>
  <si>
    <t>8.1 RBAC</t>
  </si>
  <si>
    <t>Control de acceso basado en roles (Role-Based Access Control) que define qué funcionalidades y datos puede ver o modificar cada perfil de usuario de la plataforma.</t>
  </si>
  <si>
    <t>En Inversora de Capilla coexisten perfiles distintos (director, vendedor, responsable de obra, administrador) con necesidades de acceso claramente diferenciadas.</t>
  </si>
  <si>
    <t>Requisito explícito del RFP; el RBAC garantiza que cada usuario vea solo lo que necesita, reduciendo riesgos de modificaciones no autorizadas sobre datos críticos.</t>
  </si>
  <si>
    <t>8.2 Roles personalizables</t>
  </si>
  <si>
    <t>Capacidad de crear y modificar roles a medida, más allá de los perfiles predefinidos, para adaptarse a la estructura organizativa específica de la empresa.</t>
  </si>
  <si>
    <t>La estructura de Inversora de Capilla no responde a jerarquías corporativas estándar — roles rígidos pueden no mapear correctamente sus necesidades operativas reales.</t>
  </si>
  <si>
    <t>Los roles personalizables garantizan que los controles de acceso reflejen la realidad operativa sin forzar adaptaciones estructurales en la empresa.</t>
  </si>
  <si>
    <t>9. Datos</t>
  </si>
  <si>
    <t>9.1 Cifrado en tránsito (TLS)</t>
  </si>
  <si>
    <t>Toda la comunicación entre el cliente (navegador/app) y los servidores de la plataforma está cifrada con TLS 1.2 o superior, sin excepciones.</t>
  </si>
  <si>
    <t>El tráfico de datos sensibles (datos de clientes, operaciones, documentos) sobre redes públicas o móviles requiere cifrado para evitar interceptación.</t>
  </si>
  <si>
    <t>TLS es el estándar mínimo de seguridad en comunicaciones web; su ausencia invalida cualquier declaración de seguridad de la plataforma en el mercado actual.</t>
  </si>
  <si>
    <t>9.2 Cifrado en reposo</t>
  </si>
  <si>
    <t>Los datos almacenados en bases de datos y sistemas de archivos del proveedor están cifrados con AES-256 o equivalente, incluso ante acceso físico al hardware.</t>
  </si>
  <si>
    <t>Los datos de clientes y operaciones de Inversora de Capilla tienen valor patrimonial y están sujetos a la Ley 25.326 de protección de datos personales.</t>
  </si>
  <si>
    <t>El cifrado en reposo protege los datos ante brechas en la infraestructura del proveedor y es requisito de cumplimiento normativo en el contexto argentino.</t>
  </si>
  <si>
    <t>9.3 Auditoría de cambios</t>
  </si>
  <si>
    <t>Log inmutable y consultable de todas las modificaciones realizadas sobre datos del sistema: quién cambió qué, cuándo y cuál era el valor anterior.</t>
  </si>
  <si>
    <t>En transacciones inmobiliarias de alto valor, la trazabilidad de cambios es crítica para resolver disputas y cumplir con eventuales auditorías externas.</t>
  </si>
  <si>
    <t>Requisito de la Ley 25.326 (trazabilidad de modificaciones de datos personales) y condición de gobierno de datos de cualquier plataforma de gestión madura.</t>
  </si>
  <si>
    <t>9.4 Trazabilidad completa</t>
  </si>
  <si>
    <t>Registro de auditoría de todas las acciones del sistema: accesos, consultas, exportaciones, eliminaciones y cambios de configuración, con retención configurable.</t>
  </si>
  <si>
    <t>La trazabilidad completa habilita la detección de accesos indebidos y la reconstrucción del estado del sistema ante incidentes de seguridad o disputas.</t>
  </si>
  <si>
    <t>Complemento del cifrado y el RBAC — sin trazabilidad no hay gobierno efectivo de los datos ni capacidad de respuesta ante incidentes de seguridad.</t>
  </si>
  <si>
    <t>10. Compliance</t>
  </si>
  <si>
    <t>10.1 Logs exportables</t>
  </si>
  <si>
    <t>Los logs de auditoría son exportables en formatos estándar (CSV, JSON, Syslog) para análisis externo, retención propia o integración con herramientas de monitoreo.</t>
  </si>
  <si>
    <t>Exportar los propios logs garantiza que Inversora de Capilla pueda retener evidencia de cumplimiento de forma independiente al proveedor.</t>
  </si>
  <si>
    <t>Los logs exportables son condición para auditorías externas y para cumplir con eventuales requisitos regulatorios sin depender de la voluntad del proveedor.</t>
  </si>
  <si>
    <t>D. Operación</t>
  </si>
  <si>
    <t>11. Administración</t>
  </si>
  <si>
    <t>11.1 Configuración sin código</t>
  </si>
  <si>
    <t>Capacidad de personalizar formularios, flujos, campos y reglas de negocio desde interfaces visuales sin requerir programación ni asistencia técnica del proveedor.</t>
  </si>
  <si>
    <t>Inversora de Capilla no tiene equipo IT — toda configuración post-implementación debe ser ejecutable por usuarios de negocio sin conocimiento técnico.</t>
  </si>
  <si>
    <t>La autonomía operativa reduce la dependencia del proveedor para ajustes cotidianos y disminuye el costo total de operación a lo largo del tiempo.</t>
  </si>
  <si>
    <t>11.2 Capacidad de parametrización de workflows sin desarrollo</t>
  </si>
  <si>
    <t>Editor visual de flujos de trabajo que permite crear, modificar y activar automatizaciones de procesos sin intervención de desarrollo externo.</t>
  </si>
  <si>
    <t>Los workflows de seguimiento comercial y coordinación de obra deben poder ajustarse a medida que la empresa evoluciona, sin tickets al soporte del proveedor.</t>
  </si>
  <si>
    <t>La flexibilidad de workflows es clave para la adopción continua — un sistema rígido que no evoluciona con el negocio termina siendo relegado o abandonado.</t>
  </si>
  <si>
    <t>11.3 Gestión de usuarios</t>
  </si>
  <si>
    <t>Panel de administración para crear, modificar, desactivar y asignar roles a usuarios sin asistencia del proveedor, con control total por el administrador local.</t>
  </si>
  <si>
    <t>La rotación de personal en ventas y obra requiere poder gestionar accesos con agilidad, sin depender de tickets al soporte del proveedor para cada cambio.</t>
  </si>
  <si>
    <t>La autogestión de usuarios es un requisito operativo básico — su ausencia genera fricciones y costos de administración innecesarios en la operación diaria.</t>
  </si>
  <si>
    <t>12. Continuidad</t>
  </si>
  <si>
    <t>12.1 Backup automático</t>
  </si>
  <si>
    <t>Respaldo automático de todos los datos con frecuencia mínima diaria, retención configurable y verificación de integridad sin intervención manual del usuario.</t>
  </si>
  <si>
    <t>Inversora de Capilla no tiene capacidad técnica para gestionar backups manualmente — la automatización es condición básica de continuidad operativa.</t>
  </si>
  <si>
    <t>El backup automático protege contra pérdida de datos por errores humanos, fallas del sistema o incidentes de seguridad — es un requisito de continuidad básico.</t>
  </si>
  <si>
    <t>12.2 Disaster Recovery</t>
  </si>
  <si>
    <t>Plan documentado de recuperación ante desastres con RTO y RPO definidos y garantizados contractualmente, incluyendo pruebas periódicas del proceso.</t>
  </si>
  <si>
    <t>Una caída prolongada del sistema durante una operación inmobiliaria puede tener consecuencias legales y financieras graves para Inversora de Capilla.</t>
  </si>
  <si>
    <t>El DR es la contraparte del SLA — garantiza que ante un incidente mayor el proveedor restablece el servicio dentro de plazos conocidos y contractualmente exigibles.</t>
  </si>
  <si>
    <t>12.3 Versionado de información</t>
  </si>
  <si>
    <t>Capacidad de mantener y acceder a versiones históricas de documentos y registros clave, permitiendo recuperar estados anteriores ante errores o disputas.</t>
  </si>
  <si>
    <t>En transacciones inmobiliarias donde los datos evolucionan (precios, condiciones, planos), el historial de versiones es evidencia ante controversias contractuales.</t>
  </si>
  <si>
    <t>El versionado complementa el backup — permite recuperar no solo el sistema sino el estado específico de un registro en un momento dado, con precisión quirúrgica.</t>
  </si>
  <si>
    <t>13. Gobierno</t>
  </si>
  <si>
    <t>13.1 Auditoría operativa</t>
  </si>
  <si>
    <t>Registro de las acciones operativas de los usuarios (creación, modificación, eliminación de registros) accesible para el administrador de la plataforma.</t>
  </si>
  <si>
    <t>La auditoría operativa permite identificar errores, detectar usos indebidos y cumplir con requerimientos de accountability en las operaciones comerciales.</t>
  </si>
  <si>
    <t>En un equipo sin supervisión técnica permanente, la auditoría operativa es el mecanismo de control más accesible y accionable para los directivos de la empresa.</t>
  </si>
  <si>
    <t>13.2 Gestión de cambios</t>
  </si>
  <si>
    <t>Proceso y herramientas para documentar, aprobar y controlar cambios en la configuración y parametrización, evitando modificaciones no autorizadas en producción.</t>
  </si>
  <si>
    <t>Cambios no controlados en la configuración pueden generar inconsistencias en datos o flujos que afecten operaciones comerciales en curso sin posibilidad de rastreo.</t>
  </si>
  <si>
    <t>Un proceso liviano de gestión de cambios es fundamental para mantener la estabilidad operativa del sistema a lo largo del tiempo, incluso en una PyME.</t>
  </si>
  <si>
    <t>13.3 Monitoreo y alertas</t>
  </si>
  <si>
    <t>Panel de monitoreo del estado operativo de la plataforma con alertas proactivas ante anomalías, caídas de servicio o degradaciones de performance.</t>
  </si>
  <si>
    <t>Sin monitoreo proactivo, los problemas de la plataforma solo se detectan cuando ya impactan en la operación del equipo, aumentando el tiempo de inactividad.</t>
  </si>
  <si>
    <t>El monitoreo activo reduce el tiempo de detección y respuesta ante incidentes, minimizando el impacto en la continuidad operativa del negocio.</t>
  </si>
  <si>
    <t>TOTAL</t>
  </si>
  <si>
    <t>Categoría</t>
  </si>
  <si>
    <t>Peso</t>
  </si>
  <si>
    <t>Seguridad</t>
  </si>
  <si>
    <t>Integración</t>
  </si>
  <si>
    <t>Infraestructura</t>
  </si>
  <si>
    <t>Operación</t>
  </si>
  <si>
    <t>ASPECTO ECONOMICO</t>
  </si>
  <si>
    <t>A. Costos iniciales de adquisición</t>
  </si>
  <si>
    <t>1. Licenciamiento</t>
  </si>
  <si>
    <t>1.1 Costo por usuario</t>
  </si>
  <si>
    <t>Precio mensual por usuario activo en el plan base de la plataforma, en modalidad SaaS, expresado en USD o ARS según política del proveedor.</t>
  </si>
  <si>
    <t>Con 5-15 usuarios en el escenario de Inversora de Capilla, el costo por usuario es el principal driver del OPEX mensual de la plataforma.</t>
  </si>
  <si>
    <t>El costo por usuario define la accesibilidad económica del modelo para una PyME argentina con presupuesto acotado en contexto de alta inflación.</t>
  </si>
  <si>
    <t>1.2 Costo por administrador</t>
  </si>
  <si>
    <t>Diferenciación de precio entre usuarios estándar y usuarios administradores o con acceso a módulos premium, si la plataforma establece esta distinción.</t>
  </si>
  <si>
    <t>Algunos proveedores cobran diferente por usuarios con permisos de administración — esto puede elevar el costo si los directivos necesitan acceso completo.</t>
  </si>
  <si>
    <t>Una estructura de precios que penaliza la administración dificulta la autogestión y eleva el TCO real frente al precio de lista publicado.</t>
  </si>
  <si>
    <t>1.3 Licencias incluidas</t>
  </si>
  <si>
    <t>Cantidad de módulos, funcionalidades y aplicaciones incluidas en el precio base sin cargos adicionales — cobertura real del paquete base contratado.</t>
  </si>
  <si>
    <t>Un precio base bajo con módulos clave excluidos puede resultar más caro que un plan all-inclusive al sumar los add-ons necesarios para la operación.</t>
  </si>
  <si>
    <t>La exhaustividad del paquete base determina el costo real de la solución — un modelo modular fragmentado eleva el TCO de forma no prevista en la propuesta.</t>
  </si>
  <si>
    <t>1.4 Escalabilidad de licencias</t>
  </si>
  <si>
    <t>Flexibilidad para agregar o reducir usuarios sin penalidades significativas ni contratos de largo plazo, adaptándose al crecimiento o contracción del equipo.</t>
  </si>
  <si>
    <t>Una empresa en crecimiento como Inversora de Capilla necesita poder escalar el número de usuarios sin renegociar contratos complejos con el proveedor.</t>
  </si>
  <si>
    <t>La elasticidad del licenciamiento es crítica para una PyME cuyo equipo puede crecer rápido — la rigidez contractual genera costos ocultos de crecimiento.</t>
  </si>
  <si>
    <t>2. Implementación</t>
  </si>
  <si>
    <t>2.1 Setup inicial</t>
  </si>
  <si>
    <t>Costo único de configuración inicial: creación del entorno, setup base y activación del tenant, cobrado por el proveedor o su partner implementador.</t>
  </si>
  <si>
    <t>El setup inicial es un CAPEX que impacta en la liquidez inicial del proyecto — debe ser transparente y predecible desde la propuesta del proveedor.</t>
  </si>
  <si>
    <t>Los costos de setup varían ampliamente entre proveedores (desde $0 hasta miles de USD) y son determinantes del costo real total del primer año de operación.</t>
  </si>
  <si>
    <t>2.2 Parametrización</t>
  </si>
  <si>
    <t>Costo de configuración a medida: adaptación de flujos, campos, formularios y reglas de negocio específicas de Inversora de Capilla a la plataforma elegida.</t>
  </si>
  <si>
    <t>Cuanto más parametrización requiera la plataforma para el contexto inmobiliario argentino, mayor será el CAPEX inicial de implementación del proyecto.</t>
  </si>
  <si>
    <t>La parametrización inicial es el principal CAPEX variable — su estimación precisa define si el proyecto es viable dentro del presupuesto asignado.</t>
  </si>
  <si>
    <t>2.3 Migración de datos</t>
  </si>
  <si>
    <t>Costo del proceso de extracción, limpieza, transformación y carga de los datos existentes (6 planillas Excel) hacia la nueva plataforma.</t>
  </si>
  <si>
    <t>La migración de datos históricos de clientes, proyectos y operaciones es crítica para no perder trazabilidad al pasar al nuevo sistema — y tiene un costo real.</t>
  </si>
  <si>
    <t>Un costo de migración elevado o mal estimado puede convertirse en el principal obstáculo económico del proyecto de transformación digital.</t>
  </si>
  <si>
    <t>2.4 Integraciones iniciales</t>
  </si>
  <si>
    <t>Costo de desarrollo o configuración de las integraciones necesarias desde el día 1: sistemas contables, portales inmobiliarios o herramientas ya en uso.</t>
  </si>
  <si>
    <t>Si las integraciones clave no están incluidas en el setup, su costo adicional puede superar el precio de licencia del primer año de operación.</t>
  </si>
  <si>
    <t>Las integraciones iniciales son el costo oculto más frecuente en implementaciones SaaS — su estimación explícita es condición de comparabilidad real entre propuestas.</t>
  </si>
  <si>
    <t>B. Costos operativos y mantenimiento</t>
  </si>
  <si>
    <t>3. Suscripción</t>
  </si>
  <si>
    <t>3.1 Pago mensual</t>
  </si>
  <si>
    <t>Precio de la suscripción en modalidad mensual sin compromiso anual, que ofrece mayor flexibilidad pero generalmente a un precio unitario más elevado.</t>
  </si>
  <si>
    <t>La modalidad mensual es preferible en contextos de alta inflación o incertidumbre — permite salir del contrato sin penalidades si la solución no cumple.</t>
  </si>
  <si>
    <t>En el contexto económico argentino, la flexibilidad del pago mensual tiene valor real aunque implique un precio nominal mayor al compromiso anual.</t>
  </si>
  <si>
    <t>3.2 Pago anual</t>
  </si>
  <si>
    <t>Precio de la suscripción en modalidad anual prepagada, que generalmente ofrece un descuento del 15-20% sobre la tarifa mensual equivalente.</t>
  </si>
  <si>
    <t>El pago anual reduce el OPEX mensual pero implica un desembolso inicial mayor y un compromiso de 12 meses con el proveedor seleccionado.</t>
  </si>
  <si>
    <t>La relación precio anual/mensual define el incentivo a comprometerse con el proveedor — un descuento significativo mejora el TCO proyectado a 3 años.</t>
  </si>
  <si>
    <t>4. Infraestructura</t>
  </si>
  <si>
    <t>4.1 Hosting</t>
  </si>
  <si>
    <t>Costo del alojamiento en la nube del proveedor, generalmente incluido en la suscripción SaaS — se evalúa si hay cargos adicionales por región o disponibilidad.</t>
  </si>
  <si>
    <t>En el modelo SaaS el hosting debe estar incluido — cualquier cargo separado por hosting eleva el TCO real respecto al precio de lista publicado.</t>
  </si>
  <si>
    <t>La transparencia en el costo de hosting es un indicador de honestidad en el pricing — los cargos ocultos de infraestructura son una señal de alerta comercial.</t>
  </si>
  <si>
    <t>4.2 Almacenamiento</t>
  </si>
  <si>
    <t>Límite de almacenamiento incluido en el plan base y costo por GB adicional — relevante dado el volumen de planos, documentos y fotos de obra previsto.</t>
  </si>
  <si>
    <t>El almacenamiento de planos, documentación técnica y fotos de obra puede superar rápidamente los límites del plan base si no se considera desde el inicio.</t>
  </si>
  <si>
    <t>El costo de almacenamiento adicional es un OPEX creciente que puede distorsionar el TCO proyectado si no se incluye en la estimación inicial del proyecto.</t>
  </si>
  <si>
    <t>4.3 Consumo adicional</t>
  </si>
  <si>
    <t>Cargos variables por uso intensivo: cantidad de registros, transacciones de API, envíos de email masivo u otras métricas de consumo fuera del plan base.</t>
  </si>
  <si>
    <t>Los cargos por consumo adicional son el componente más impredecible del TCO — generan facturas sorpresivas que dificultan la planificación presupuestaria.</t>
  </si>
  <si>
    <t>La previsibilidad del OPEX es crítica en una PyME argentina con presupuesto ajustado — los modelos de pricing por consumo generan incertidumbre financiera real.</t>
  </si>
  <si>
    <t>5. Soporte</t>
  </si>
  <si>
    <t>5.1 Soporte estándar</t>
  </si>
  <si>
    <t>Plan de soporte incluido en la suscripción base: canales disponibles (email, chat, teléfono), horarios de atención y SLA de respuesta estándar garantizado.</t>
  </si>
  <si>
    <t>El soporte estándar define el nivel de asistencia disponible sin costo adicional — su calidad es determinante para una empresa sin IT propio.</t>
  </si>
  <si>
    <t>Evaluar el soporte incluido evita descubrir tardíamente que la asistencia necesaria solo está disponible en planes premium con costo adicional significativo.</t>
  </si>
  <si>
    <t>5.2 Soporte premium</t>
  </si>
  <si>
    <t>Costo y cobertura del plan de soporte avanzado: SLA garantizado, gestor de cuenta dedicado, onboarding personalizado y prioridad en resolución de incidentes.</t>
  </si>
  <si>
    <t>Para una PyME sin IT interno, el soporte premium puede ser una inversión justificada si el estándar no garantiza tiempos de respuesta operativamente aceptables.</t>
  </si>
  <si>
    <t>El diferencial de precio entre soporte estándar y premium debe evaluarse contra el riesgo operativo de no tener asistencia prioritaria en momentos críticos.</t>
  </si>
  <si>
    <t>C. Costos de Evolución</t>
  </si>
  <si>
    <t>6. Crecimiento</t>
  </si>
  <si>
    <t>6.1 Usuarios adicionales</t>
  </si>
  <si>
    <t>Precio unitario de agregar usuarios más allá del plan base contratado, incluyendo posibles cambios de tier o renegociaciones de contrato necesarias.</t>
  </si>
  <si>
    <t>Si Inversora de Capilla crece de 5 a 15 usuarios, el costo incremental por usuario define si el plan actual es sostenible o requiere migrar a un tier superior.</t>
  </si>
  <si>
    <t>El costo de escalar usuarios es un proxy del costo de crecimiento del negocio — debe ser lineal y predecible para no sorprender en la planificación financiera.</t>
  </si>
  <si>
    <t>6.2 Módulos adicionales</t>
  </si>
  <si>
    <t>Precio de activar módulos o funcionalidades no incluidas en el plan base, como firma digital, inteligencia artificial o gestión documental avanzada.</t>
  </si>
  <si>
    <t>La necesidad de agregar módulos clave post-implementación puede duplicar el costo inicial del proyecto si no se evalúa en la propuesta original del proveedor.</t>
  </si>
  <si>
    <t>Los módulos adicionales son el mecanismo de upselling más frecuente en SaaS — su precio y disponibilidad deben evaluarse como parte del TCO a 3 años.</t>
  </si>
  <si>
    <t>6.3 Ambientes adicionales</t>
  </si>
  <si>
    <t>Costo de contar con entornos separados para pruebas o staging, además del ambiente de producción incluido en el plan base del proveedor.</t>
  </si>
  <si>
    <t>Un ambiente de pruebas separado permite testear configuraciones sin riesgo sobre datos productivos — práctica recomendada aunque tenga costo adicional.</t>
  </si>
  <si>
    <t>Operar sin ambiente de pruebas en una PyME es aceptable inicialmente, pero el costo de incorporarlo debe conocerse para la planificación futura del sistema.</t>
  </si>
  <si>
    <t>7. Desarrollo</t>
  </si>
  <si>
    <t>7.1 Customizaciones</t>
  </si>
  <si>
    <t>Costo de desarrollo de funcionalidades a medida o adaptaciones específicas del negocio no cubiertas por la configuración estándar de la plataforma.</t>
  </si>
  <si>
    <t>Las customizaciones tienen un costo de desarrollo inicial y un costo de mantenimiento futuro ante cada actualización de la plataforma — deben minimizarse.</t>
  </si>
  <si>
    <t>Cada customización introduce deuda técnica y dependencia del proveedor — su costo real incluye el mantenimiento a lo largo del ciclo de vida del sistema.</t>
  </si>
  <si>
    <t>7.2 Automatizaciones</t>
  </si>
  <si>
    <t>Costo de crear o ampliar automatizaciones de flujos de trabajo más allá de las incluidas en el plan, por servicios del proveedor o desarrollo propio.</t>
  </si>
  <si>
    <t>Las automatizaciones son el componente de mayor ROI en la transformación digital — su costo de implementación debe evaluarse contra el ahorro operativo generado.</t>
  </si>
  <si>
    <t>Una plataforma que cobra caro por automatizaciones desincentiva su uso, limitando uno de los principales beneficios concretos de la digitalización.</t>
  </si>
  <si>
    <t>7.3 APIs adicionales</t>
  </si>
  <si>
    <t>Costo de consumo de APIs más allá del límite incluido en el plan, o de acceder a APIs avanzadas disponibles solo en tiers superiores de la plataforma.</t>
  </si>
  <si>
    <t>Si las integraciones con portales inmobiliarios o sistemas externos requieren alto volumen de llamadas API, el costo adicional puede ser significativo.</t>
  </si>
  <si>
    <t>El costo de APIs adicionales define la viabilidad económica de integraciones futuras — debe evaluarse en el contexto del roadmap de integración de la empresa.</t>
  </si>
  <si>
    <t>Costos iniciales de adquisición</t>
  </si>
  <si>
    <t>Costos operativos y mantenimiento</t>
  </si>
  <si>
    <t>Costos de Evolución</t>
  </si>
  <si>
    <t>Escalas:</t>
  </si>
  <si>
    <t>Costo por usuario</t>
  </si>
  <si>
    <t>Valor</t>
  </si>
  <si>
    <t>≤ USD 40</t>
  </si>
  <si>
    <t>&gt;40 y ≤60</t>
  </si>
  <si>
    <t>&gt;60 y ≤90</t>
  </si>
  <si>
    <t>&gt;90 y ≤120</t>
  </si>
  <si>
    <t>&gt;120</t>
  </si>
  <si>
    <t>Costos de Implementación</t>
  </si>
  <si>
    <t>(Aplica a: setup, parametrización, migración, integraciones)</t>
  </si>
  <si>
    <t>≤ USD 5.000</t>
  </si>
  <si>
    <t>USD 5.001 – 10.000</t>
  </si>
  <si>
    <t>USD 10.001 – 15.000</t>
  </si>
  <si>
    <t>USD 15.001 – 20.000</t>
  </si>
  <si>
    <t>&gt; USD 20.000</t>
  </si>
  <si>
    <t>Costos Operativos</t>
  </si>
  <si>
    <t>(Aplica a: pago mensual, pago anual)</t>
  </si>
  <si>
    <t>≤ USD 500 mensuales</t>
  </si>
  <si>
    <t>USD 501 – 1.000</t>
  </si>
  <si>
    <t>USD 1.001 – 1.500</t>
  </si>
  <si>
    <t>Infraestructura y Servicios Asociados</t>
  </si>
  <si>
    <t>USD 1.501 – 2.000</t>
  </si>
  <si>
    <t>(Aplica a: hosting, almacenamiento, consumos adicionales)</t>
  </si>
  <si>
    <t>&gt; USD 2.000</t>
  </si>
  <si>
    <t>Todos los servicios incluidos sin costos adicionales relevantes</t>
  </si>
  <si>
    <t>Costos adicionales menores (&lt;10% del valor anual)</t>
  </si>
  <si>
    <t>Costos adicionales moderados (10%-20%)</t>
  </si>
  <si>
    <t>Costos adicionales altos (20%-30%)</t>
  </si>
  <si>
    <t>Costos adicionales &gt;30%</t>
  </si>
  <si>
    <t>Soporte y Mantenimiento</t>
  </si>
  <si>
    <t>(Aplica a: soporte estándar y premium)</t>
  </si>
  <si>
    <t>Incluido sin cargo</t>
  </si>
  <si>
    <t>Costo ≤ 10% del valor anual de licencias</t>
  </si>
  <si>
    <t>Entre 10% y 20%</t>
  </si>
  <si>
    <t>Entre 20% y 30%</t>
  </si>
  <si>
    <t>&gt;30%</t>
  </si>
  <si>
    <t>ASPECTO PROVEEDOR</t>
  </si>
  <si>
    <t>A. Trayectoria y solidez</t>
  </si>
  <si>
    <t>1. Trayectoria</t>
  </si>
  <si>
    <t>1.1 Años en el mercado</t>
  </si>
  <si>
    <t>Antigüedad del proveedor desde su fundación o desde el lanzamiento comercial del producto evaluado, como indicador de madurez y estabilidad en el mercado.</t>
  </si>
  <si>
    <t>Un proveedor con menos de 5 años representa mayor riesgo de discontinuidad o cambios disruptivos en el producto y su política comercial hacia clientes existentes.</t>
  </si>
  <si>
    <t>La antigüedad correlaciona con la estabilidad del producto, la madurez del soporte y la solidez financiera — factores críticos para una inversión de largo plazo.</t>
  </si>
  <si>
    <t>1.2 Presencia internacional</t>
  </si>
  <si>
    <t>Operación del proveedor en múltiples países o regiones, con subsidiarias, partners certificados o clientes activos fuera de su mercado de origen.</t>
  </si>
  <si>
    <t>La presencia internacional indica escala y capacidad de inversión en I+D — reduce el riesgo de que decisiones locales afecten la continuidad del producto.</t>
  </si>
  <si>
    <t>Un proveedor con presencia global tiene mayor resistencia ante crisis regionales y más recursos para mantener y evolucionar el producto a largo plazo.</t>
  </si>
  <si>
    <t>1.3 Estabilidad financiera</t>
  </si>
  <si>
    <t>Solidez financiera del proveedor: cotización pública, respaldo de inversores institucionales, ingresos recurrentes documentados o ausencia de reestructuraciones recientes.</t>
  </si>
  <si>
    <t>Un proveedor con dificultades financieras puede abandonar el producto, ser adquirido o degradar el servicio — riesgo crítico para la continuidad operativa.</t>
  </si>
  <si>
    <t>La estabilidad financiera es un componente del riesgo de vendor lock-in — un proveedor financieramente débil puede obligar a una migración forzada y costosa.</t>
  </si>
  <si>
    <t>2. Escala</t>
  </si>
  <si>
    <t>2.1 Cantidad de clientes</t>
  </si>
  <si>
    <t>Número total de empresas clientes activas de la plataforma a nivel global o en la región, como indicador de adopción y validación en el mercado.</t>
  </si>
  <si>
    <t>Una base amplia de clientes indica que la plataforma superó la etapa experimental y cuenta con comunidad, recursos de soporte y ecosistema consolidado.</t>
  </si>
  <si>
    <t>La escala de clientes es un proxy de la madurez del producto y de la capacidad del proveedor de mantener un servicio de calidad de forma sostenible.</t>
  </si>
  <si>
    <t>2.2 Cantidad de usuarios</t>
  </si>
  <si>
    <t>Número total de usuarios activos en la plataforma, que refleja la adopción real y la capacidad de la infraestructura para soportar carga a escala.</t>
  </si>
  <si>
    <t>Una plataforma con millones de usuarios activos ha probado su escalabilidad y estabilidad bajo carga real — garantía de infraestructura sólida para el cliente.</t>
  </si>
  <si>
    <t>La cantidad de usuarios activos valida la viabilidad técnica y comercial del proveedor a largo plazo — indicador complementario al número de clientes.</t>
  </si>
  <si>
    <t>3. Certificaciones y Compliance</t>
  </si>
  <si>
    <t>3.1 Certificaciones y cumplimiento normativo</t>
  </si>
  <si>
    <t>La plataforma o el proveedor cuenta con certificación ISO/IEC 27001 o equivalentes, que acredita un Sistema de Gestión de Seguridad de la Información auditado por terceros.</t>
  </si>
  <si>
    <t>La certificación reduce el riesgo de contratar a un proveedor con prácticas de seguridad insuficientes, ya que implica auditorías periódicas independientes.</t>
  </si>
  <si>
    <t>En ausencia de un equipo IT interno, la certificación del proveedor es la única garantía objetiva y verificable de sus controles de seguridad.</t>
  </si>
  <si>
    <t>3.2 GDPR</t>
  </si>
  <si>
    <t>La plataforma cumple con los principios del GDPR europeo: minimización de datos, derecho al olvido, portabilidad y consentimiento explícito del titular.</t>
  </si>
  <si>
    <t>El GDPR es el estándar internacional de referencia en protección de datos; su cumplimiento indica madurez del proveedor en prácticas de privacidad.</t>
  </si>
  <si>
    <t>Aunque Inversora de Capilla opera bajo Ley 25.326, la alineación con GDPR garantiza un nivel de protección superior al mínimo legal local exigido.</t>
  </si>
  <si>
    <t>B. Experiencia</t>
  </si>
  <si>
    <t>4. Industria</t>
  </si>
  <si>
    <t>4.1 Casos inmobiliarios</t>
  </si>
  <si>
    <t>Experiencia documentada del proveedor o su red de partners en implementaciones para empresas del sector Real Estate, PropTech o construcción.</t>
  </si>
  <si>
    <t>Una plataforma sin casos en el sector inmobiliario requiere mayor esfuerzo de adaptación para cubrir los procesos específicos del negocio de Inversora de Capilla.</t>
  </si>
  <si>
    <t>La experiencia sectorial reduce el riesgo de implementación, acelera la configuración y garantiza que los flujos del negocio inmobiliario estén contemplados.</t>
  </si>
  <si>
    <t>4.2 Casos PyME</t>
  </si>
  <si>
    <t>Historial de implementaciones exitosas en empresas de tamaño similar (5-50 usuarios, sin IT interno) con perfiles operativos y presupuestos comparables.</t>
  </si>
  <si>
    <t>Un proveedor orientado a grandes empresas puede sobredimensionar la solución en complejidad, costo y requerimientos para una PyME como Inversora de Capilla.</t>
  </si>
  <si>
    <t>La experiencia con PyMEs garantiza que el modelo de implementación, soporte y pricing esté calibrado para la capacidad real de absorción de la empresa.</t>
  </si>
  <si>
    <t>4.3 Casos Argentina</t>
  </si>
  <si>
    <t>Implementaciones activas o referenciables en empresas argentinas, con comprensión del contexto normativo local (AFIP, Ley 25.326, operatoria en ARS).</t>
  </si>
  <si>
    <t>El contexto argentino tiene particularidades operativas y regulatorias que un proveedor sin experiencia local puede subestimar, generando brechas en la solución.</t>
  </si>
  <si>
    <t>La experiencia en Argentina es un diferenciador crítico — garantiza comprensión de las restricciones locales y soporte sin adaptaciones de alto costo adicional.</t>
  </si>
  <si>
    <t>5. Referencias</t>
  </si>
  <si>
    <t>5.1 Clientes de referencia</t>
  </si>
  <si>
    <t>Disponibilidad del proveedor de proveer contactos de clientes reales dispuestos a ser consultados, idealmente del sector inmobiliario o PyME argentina.</t>
  </si>
  <si>
    <t>Las referencias directas permiten validar la experiencia real del proveedor más allá de los materiales de marketing — son la evidencia más confiable disponible.</t>
  </si>
  <si>
    <t>La disposición a proveer referencias es un indicador de confianza del proveedor — los que tienen implementaciones exitosas no dudan en compartir sus casos.</t>
  </si>
  <si>
    <t>5.2 Casos documentados</t>
  </si>
  <si>
    <t>Disponibilidad de casos de éxito formalmente documentados: descripción del cliente, problemática resuelta, solución implementada y resultados medibles obtenidos.</t>
  </si>
  <si>
    <t>Los casos documentados permiten evaluar la metodología de implementación del proveedor y la tipología de empresas con las que trabaja habitualmente.</t>
  </si>
  <si>
    <t>Los casos documentados son evidencia verificable de capacidad — su ausencia o superficialidad es una señal de alerta sobre la solidez real del proveedor.</t>
  </si>
  <si>
    <t>C. Ecosistema</t>
  </si>
  <si>
    <t>6. Partners</t>
  </si>
  <si>
    <t>6.1 Red de partners</t>
  </si>
  <si>
    <t>Cantidad y calidad de empresas partners certificadas por el proveedor para implementar, personalizar y soportar la plataforma en la región latinoamericana.</t>
  </si>
  <si>
    <t>Una red de partners activa en Argentina garantiza que Inversora de Capilla puede elegir entre varios implementadores sin depender del proveedor directo.</t>
  </si>
  <si>
    <t>La competencia entre partners reduce el costo de implementación y aumenta la calidad — un proveedor sin partners locales es un punto único de falla operativo.</t>
  </si>
  <si>
    <t>6.2 Consultores certificados</t>
  </si>
  <si>
    <t>Existencia de un programa de certificación formal para consultores implementadores, con exámenes, niveles de competencia y renovación periódica.</t>
  </si>
  <si>
    <t>La certificación formal garantiza un nivel mínimo de competencia técnica en el partner contratado — sin ella la calidad de implementación es impredecible.</t>
  </si>
  <si>
    <t>Un programa de certificación sólido protege a Inversora de Capilla ante implementaciones deficientes al establecer un estándar verificable de calidad.</t>
  </si>
  <si>
    <t>6.3 Implementadores locales</t>
  </si>
  <si>
    <t>Presencia de partners implementadores con operación física en Argentina, con capacidad de trabajo presencial y conocimiento del mercado local.</t>
  </si>
  <si>
    <t>Un implementador local puede realizar visitas presenciales, comprende el contexto de negocio argentino y opera en el mismo huso horario que el cliente.</t>
  </si>
  <si>
    <t>La proximidad física del implementador reduce el tiempo de respuesta ante problemas y facilita la transferencia de conocimiento al equipo de la empresa.</t>
  </si>
  <si>
    <t>7. Marketplace</t>
  </si>
  <si>
    <t>7.1 Marketplace de aplicaciones</t>
  </si>
  <si>
    <t>Tienda oficial de aplicaciones y extensiones de terceros para la plataforma, con herramientas complementarias validadas disponibles sin desarrollo adicional.</t>
  </si>
  <si>
    <t>Un marketplace activo indica que el ecosistema del proveedor es maduro y que la comunidad de desarrolladores ve valor en construir sobre su plataforma.</t>
  </si>
  <si>
    <t>Un marketplace rico reduce el costo de incorporar funcionalidades específicas al reutilizar soluciones existentes en lugar de desarrollarlas desde cero.</t>
  </si>
  <si>
    <t>7.2 Add-ons disponibles</t>
  </si>
  <si>
    <t>Cantidad y relevancia de las extensiones o add-ons disponibles específicamente para el sector inmobiliario o PropTech dentro del marketplace del proveedor.</t>
  </si>
  <si>
    <t>La disponibilidad de add-ons específicos para Real Estate puede cubrir necesidades funcionales sin recurrir a desarrollo personalizado de alto costo.</t>
  </si>
  <si>
    <t>Los add-ons sectoriales representan una vía de expansión funcional de bajo riesgo — su disponibilidad define el potencial de evolución futura de la solución.</t>
  </si>
  <si>
    <t>D. Soporte</t>
  </si>
  <si>
    <t>8. Atención</t>
  </si>
  <si>
    <t>8.1 Soporte en español</t>
  </si>
  <si>
    <t>Disponibilidad de agentes de soporte técnico y documentación en español, sin requerir el uso del inglés para resolver incidentes o consultas técnicas.</t>
  </si>
  <si>
    <t>El equipo de Inversora de Capilla no tiene perfil técnico — el soporte en español es condición para que el equipo resuelva problemas de forma autónoma.</t>
  </si>
  <si>
    <t>El soporte en el idioma del usuario es un factor crítico de adopción — un soporte técnico que no puede ser usado efectivamente no aporta valor real.</t>
  </si>
  <si>
    <t>8.2 Soporte regional</t>
  </si>
  <si>
    <t>Oficina o equipo de soporte dedicado para América Latina, con conocimiento del contexto regulatorio, operativo y cultural de la región.</t>
  </si>
  <si>
    <t>El soporte regional comprende las particularidades del mercado argentino (AFIP, inflación, operatoria en pesos) sin necesidad de explicarlas en cada consulta.</t>
  </si>
  <si>
    <t>El soporte regional reduce el tiempo de resolución de incidentes con componentes locales y garantiza alineación con la normativa vigente en Argentina.</t>
  </si>
  <si>
    <t>8.3 Horario extendido</t>
  </si>
  <si>
    <t>Disponibilidad de soporte técnico más allá del horario hábil estándar (9-18 hs), incluyendo fines de semana o guardias para incidentes críticos.</t>
  </si>
  <si>
    <t>Las operaciones inmobiliarias pueden cerrar fuera del horario comercial — un incidente en el sistema en ese momento puede impedir concretar una transacción.</t>
  </si>
  <si>
    <t>El horario extendido de soporte reduce el riesgo operativo ante incidentes fuera del horario estándar — diferenciador clave en sectores con operaciones extendidas.</t>
  </si>
  <si>
    <t>9. Servicio</t>
  </si>
  <si>
    <t>9.1 SLA de soporte</t>
  </si>
  <si>
    <t>Compromiso contractual de tiempos máximos de respuesta y resolución según la severidad del incidente, con penalidades definidas ante incumplimientos.</t>
  </si>
  <si>
    <t>Un SLA de soporte sin penalidades es una declaración de intención, no un compromiso real — la exigibilidad contractual es lo que le da valor operativo.</t>
  </si>
  <si>
    <t>El SLA de soporte protege a Inversora de Capilla ante demoras inaceptables en resolución de incidentes — es la garantía formal de calidad del servicio post-venta.</t>
  </si>
  <si>
    <t>9.2 Mesa de ayuda</t>
  </si>
  <si>
    <t>Sistema formal de ticketing para la gestión de incidentes y consultas técnicas, con trazabilidad, priorización y escalamiento definidos y documentados.</t>
  </si>
  <si>
    <t>Una mesa de ayuda estructurada permite dar seguimiento formal a los problemas reportados y exigir su resolución dentro de los SLA establecidos.</t>
  </si>
  <si>
    <t>El ticketing formal es el mecanismo de accountability del soporte — sin él, los incidentes pueden perderse o resolverse de forma informal e inconsistente.</t>
  </si>
  <si>
    <t>E. Innovación</t>
  </si>
  <si>
    <t>10. Producto</t>
  </si>
  <si>
    <t>10.1 Roadmap público</t>
  </si>
  <si>
    <t>Publicación del plan de evolución del producto con funcionalidades previstas, fechas orientativas y mecanismo para que clientes propongan y voten mejoras.</t>
  </si>
  <si>
    <t>Un roadmap público indica que el proveedor tiene visión de producto a largo plazo y está dispuesto a ser evaluado por sus compromisos de evolución.</t>
  </si>
  <si>
    <t>El roadmap permite evaluar si la dirección del producto es alineada con las necesidades futuras de Inversora de Capilla — reduce el riesgo de plataforma estancada.</t>
  </si>
  <si>
    <t>10.2 Frecuencia de releases</t>
  </si>
  <si>
    <t>Cadencia de lanzamiento de nuevas versiones, correcciones y mejoras de la plataforma — indicador de la inversión activa del proveedor en el desarrollo del producto.</t>
  </si>
  <si>
    <t>Un proveedor con releases frecuentes demuestra inversión activa en I+D — el software que no se actualiza regularmente se vuelve obsoleto frente al mercado.</t>
  </si>
  <si>
    <t>La frecuencia de releases es un indicador de vitalidad del producto — plataformas con actualizaciones frecuentes ofrecen mayor protección de la inversión.</t>
  </si>
  <si>
    <t>10.3 Nuevas funcionalidades</t>
  </si>
  <si>
    <t>Historial y calidad de las funcionalidades lanzadas en los últimos 12-24 meses, evaluando su relevancia para los casos de uso de Inversora de Capilla.</t>
  </si>
  <si>
    <t>El análisis de funcionalidades recientes permite inferir si el proveedor invierte en áreas relevantes para el sector inmobiliario y el mercado latinoamericano.</t>
  </si>
  <si>
    <t>Las funcionalidades lanzadas recientemente son evidencia concreta de la dirección estratégica del producto — más confiable que las declaraciones del roadmap.</t>
  </si>
  <si>
    <t>11. IA</t>
  </si>
  <si>
    <t>11.1 Capacidades IA nativas</t>
  </si>
  <si>
    <t>Funcionalidades de inteligencia artificial integradas nativamente: scoring predictivo, procesamiento de lenguaje natural, generación de contenido o análisis automático.</t>
  </si>
  <si>
    <t>La IA nativa puede mejorar la eficiencia del equipo de ventas (lead scoring automático) y reducir el tiempo dedicado a tareas repetitivas de análisis.</t>
  </si>
  <si>
    <t>La IA integrada en el CRM es el diferenciador tecnológico más relevante para 2026 — los proveedores que la ofrecen nativamente posicionan mejor a sus clientes.</t>
  </si>
  <si>
    <t>11.2 Automatización inteligente</t>
  </si>
  <si>
    <t>Capacidad de la plataforma de aprender de los patrones de uso y proponer o ejecutar automatizaciones basadas en comportamiento histórico sin programación explícita.</t>
  </si>
  <si>
    <t>La automatización inteligente puede identificar patrones de comportamiento de clientes y sugerir acciones comerciales que el equipo no detectaría manualmente.</t>
  </si>
  <si>
    <t>La automatización inteligente multiplica la capacidad operativa sin agregar personal — diferenciador de productividad crítico para una empresa con recursos limitados.</t>
  </si>
  <si>
    <t>Experiencia</t>
  </si>
  <si>
    <t>Solidez Empresarial</t>
  </si>
  <si>
    <t>Soporte</t>
  </si>
  <si>
    <t>Ecosistema</t>
  </si>
  <si>
    <t>Innovación</t>
  </si>
  <si>
    <t>Certificaciones y Compliance</t>
  </si>
  <si>
    <t>(Aquí movería ISO 27001 según pidió el profesor)</t>
  </si>
  <si>
    <t>ISO 27001 + SOC 2 + cumplimiento normativo relevante</t>
  </si>
  <si>
    <t>Certificaciones parciales documentadas</t>
  </si>
  <si>
    <t>Buenas prácticas declaradas sin certificación</t>
  </si>
  <si>
    <t>Sin evidencia</t>
  </si>
  <si>
    <t>Conclusiones Estratégicas</t>
  </si>
  <si>
    <t>1. La recomendación metodológica es correcta y madura para un proyecto PyME 2026.</t>
  </si>
  <si>
    <t>2. El mayor riesgo no es tecnológico sino organizacional y cultural.</t>
  </si>
  <si>
    <t>3. Dynamics 365 presenta sobre-engineering para una empresa de 5-15 usuarios.</t>
  </si>
  <si>
    <t>4. Zoho CRM y proveedores PropTech argentinos ofrecen mejor relación costo-adopción.</t>
  </si>
  <si>
    <t>5. La solidez del partner local será prioritaria para los socios por ausencia de IT interno.</t>
  </si>
  <si>
    <t>6. El CAPEX inicial importará, pero la continuidad operativa y soporte pesarán más.</t>
  </si>
  <si>
    <t>7. Se recomienda transición gradual y no apagón digital inmediato.</t>
  </si>
  <si>
    <t>Máximo</t>
  </si>
  <si>
    <t>FUNCIONAL</t>
  </si>
  <si>
    <t>TÉCNICO</t>
  </si>
  <si>
    <t>ECONÓMICO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</si>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</sst>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charset val="1"/>
    </font>
    <font>
      <b/>
      <sz val="16"/>
      <name val="Cambria"/>
      <family val="1"/>
      <charset val="1"/>
    </font>
    <font>
      <sz val="11"/>
      <color rgb="FF000000"/>
      <name val="Calibri"/>
      <family val="2"/>
      <charset val="1"/>
    </font>
    <font>
      <b/>
      <sz val="13"/>
      <name val="Cambria"/>
      <family val="1"/>
      <charset val="1"/>
    </font>
    <font>
      <b/>
      <sz val="11"/>
      <name val="Cambria"/>
      <family val="1"/>
      <charset val="1"/>
    </font>
    <font>
      <sz val="11"/>
      <name val="Cambria"/>
      <family val="1"/>
      <charset val="1"/>
    </font>
    <font>
      <b/>
      <sz val="14"/>
      <color theme="1"/>
      <name val="Cambria"/>
      <family val="1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1F4E79"/>
      <name val="Arial"/>
      <charset val="1"/>
    </font>
    <font>
      <sz val="9"/>
      <color rgb="FF000000"/>
      <name val="Arial"/>
      <charset val="1"/>
    </font>
    <font>
      <b/>
      <sz val="9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Arial"/>
      <family val="2"/>
      <charset val="1"/>
    </font>
    <font>
      <b/>
      <sz val="14"/>
      <name val="Cambria"/>
      <family val="1"/>
      <charset val="1"/>
    </font>
    <font>
      <sz val="12"/>
      <name val="Cambria"/>
      <family val="1"/>
      <charset val="1"/>
    </font>
    <font>
      <b/>
      <sz val="9"/>
      <color rgb="FFFFFFFF"/>
      <name val="Cambria"/>
      <family val="1"/>
      <charset val="1"/>
    </font>
    <font>
      <b/>
      <sz val="18"/>
      <name val="Cambria"/>
      <family val="1"/>
      <charset val="1"/>
    </font>
    <font>
      <sz val="11"/>
      <color rgb="FF000000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9"/>
      <color theme="0"/>
      <name val="Cambria"/>
      <family val="1"/>
      <charset val="1"/>
    </font>
    <font>
      <sz val="9"/>
      <color theme="0"/>
      <name val="Cambria"/>
      <family val="1"/>
      <charset val="1"/>
    </font>
    <font>
      <sz val="11"/>
      <color theme="0"/>
      <name val="Cambria"/>
      <family val="1"/>
      <charset val="1"/>
    </font>
    <font>
      <b/>
      <sz val="9"/>
      <color rgb="FF17375E"/>
      <name val="Cambria"/>
      <family val="1"/>
      <charset val="1"/>
    </font>
    <font>
      <b/>
      <sz val="9"/>
      <color rgb="FF000000"/>
      <name val="Cambria"/>
      <family val="1"/>
      <charset val="1"/>
    </font>
    <font>
      <sz val="9"/>
      <color rgb="FF000000"/>
      <name val="Cambria"/>
      <family val="1"/>
      <charset val="1"/>
    </font>
    <font>
      <sz val="9"/>
      <name val="Cambria"/>
      <family val="1"/>
      <charset val="1"/>
    </font>
    <font>
      <i/>
      <sz val="8"/>
      <color rgb="FF595959"/>
      <name val="Cambria"/>
      <family val="1"/>
      <charset val="1"/>
    </font>
    <font>
      <sz val="9"/>
      <color rgb="FF0000FF"/>
      <name val="Cambria"/>
      <family val="1"/>
      <charset val="1"/>
    </font>
    <font>
      <b/>
      <sz val="10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sz val="9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4"/>
      <name val="Calibri"/>
      <family val="2"/>
      <charset val="1"/>
    </font>
    <font>
      <sz val="11"/>
      <color rgb="FF242424"/>
      <name val="Aptos Narrow"/>
      <charset val="1"/>
    </font>
    <font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1" tint="0.49977111117893003"/>
        <bgColor rgb="FF8064A2"/>
      </patternFill>
    </fill>
    <fill>
      <patternFill patternType="solid">
        <fgColor theme="3" tint="0.79979857783745845"/>
        <bgColor rgb="FFBDD7EE"/>
      </patternFill>
    </fill>
    <fill>
      <patternFill patternType="solid">
        <fgColor theme="9" tint="0.59978026673177287"/>
        <bgColor rgb="FFFCD5B4"/>
      </patternFill>
    </fill>
    <fill>
      <patternFill patternType="solid">
        <fgColor theme="6" tint="0.79979857783745845"/>
        <bgColor rgb="FFF1EFE8"/>
      </patternFill>
    </fill>
    <fill>
      <patternFill patternType="solid">
        <fgColor rgb="FFFFD1D1"/>
        <bgColor rgb="FFFCD5B5"/>
      </patternFill>
    </fill>
    <fill>
      <patternFill patternType="solid">
        <fgColor rgb="FFF79646"/>
        <bgColor rgb="FFFF9797"/>
      </patternFill>
    </fill>
    <fill>
      <patternFill patternType="solid">
        <fgColor rgb="FFFCD5B4"/>
        <bgColor rgb="FFFCD5B5"/>
      </patternFill>
    </fill>
    <fill>
      <patternFill patternType="solid">
        <fgColor theme="6"/>
        <bgColor rgb="FF92D050"/>
      </patternFill>
    </fill>
    <fill>
      <patternFill patternType="solid">
        <fgColor rgb="FFFF9797"/>
        <bgColor rgb="FFF4B084"/>
      </patternFill>
    </fill>
    <fill>
      <patternFill patternType="solid">
        <fgColor rgb="FF9BC2E6"/>
        <bgColor rgb="FFB3B3B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E1F5EE"/>
      </patternFill>
    </fill>
    <fill>
      <patternFill patternType="solid">
        <fgColor rgb="FF1F4E79"/>
        <bgColor rgb="FF185FA5"/>
      </patternFill>
    </fill>
    <fill>
      <patternFill patternType="solid">
        <fgColor rgb="FFBDD7EE"/>
        <bgColor rgb="FFC6D9F1"/>
      </patternFill>
    </fill>
    <fill>
      <patternFill patternType="solid">
        <fgColor rgb="FFF9F9F9"/>
        <bgColor rgb="FFFFFFFF"/>
      </patternFill>
    </fill>
    <fill>
      <patternFill patternType="solid">
        <fgColor rgb="FFF4B084"/>
        <bgColor rgb="FFFAC090"/>
      </patternFill>
    </fill>
    <fill>
      <patternFill patternType="solid">
        <fgColor theme="9" tint="0.39967040009765925"/>
        <bgColor rgb="FFF4B084"/>
      </patternFill>
    </fill>
    <fill>
      <patternFill patternType="solid">
        <fgColor rgb="FFA8D08D"/>
        <bgColor rgb="FF92D050"/>
      </patternFill>
    </fill>
    <fill>
      <patternFill patternType="solid">
        <fgColor rgb="FFE2EFD9"/>
        <bgColor rgb="FFEBF1DE"/>
      </patternFill>
    </fill>
    <fill>
      <patternFill patternType="solid">
        <fgColor rgb="FF92D050"/>
        <bgColor rgb="FF9BBB59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0" fillId="0" borderId="0"/>
  </cellStyleXfs>
  <cellXfs count="212">
    <xf numFmtId="0" fontId="0" fillId="0" borderId="0" xfId="0"/>
    <xf numFmtId="0" fontId="17" fillId="12" borderId="13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wrapText="1"/>
    </xf>
    <xf numFmtId="0" fontId="14" fillId="10" borderId="13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2" borderId="5" xfId="0" applyFont="1" applyFill="1" applyBorder="1"/>
    <xf numFmtId="0" fontId="0" fillId="0" borderId="4" xfId="0" applyBorder="1"/>
    <xf numFmtId="0" fontId="3" fillId="0" borderId="6" xfId="0" applyFont="1" applyBorder="1"/>
    <xf numFmtId="0" fontId="2" fillId="2" borderId="7" xfId="0" applyFont="1" applyFill="1" applyBorder="1"/>
    <xf numFmtId="0" fontId="2" fillId="2" borderId="6" xfId="0" applyFont="1" applyFill="1" applyBorder="1"/>
    <xf numFmtId="0" fontId="4" fillId="0" borderId="8" xfId="0" applyFont="1" applyBorder="1"/>
    <xf numFmtId="0" fontId="5" fillId="0" borderId="9" xfId="0" applyFont="1" applyBorder="1"/>
    <xf numFmtId="0" fontId="4" fillId="0" borderId="2" xfId="0" applyFont="1" applyBorder="1"/>
    <xf numFmtId="0" fontId="5" fillId="0" borderId="2" xfId="0" applyFont="1" applyBorder="1"/>
    <xf numFmtId="0" fontId="4" fillId="0" borderId="1" xfId="0" applyFont="1" applyBorder="1"/>
    <xf numFmtId="0" fontId="5" fillId="0" borderId="1" xfId="0" applyFont="1" applyBorder="1"/>
    <xf numFmtId="17" fontId="5" fillId="0" borderId="1" xfId="0" applyNumberFormat="1" applyFont="1" applyBorder="1"/>
    <xf numFmtId="0" fontId="0" fillId="0" borderId="10" xfId="0" applyBorder="1"/>
    <xf numFmtId="0" fontId="5" fillId="0" borderId="10" xfId="0" applyFont="1" applyBorder="1"/>
    <xf numFmtId="0" fontId="0" fillId="0" borderId="11" xfId="0" applyBorder="1"/>
    <xf numFmtId="0" fontId="0" fillId="0" borderId="12" xfId="0" applyBorder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9" fillId="4" borderId="13" xfId="0" applyFont="1" applyFill="1" applyBorder="1" applyAlignment="1">
      <alignment horizontal="center" vertical="center" wrapText="1"/>
    </xf>
    <xf numFmtId="9" fontId="9" fillId="4" borderId="13" xfId="0" applyNumberFormat="1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9" fontId="9" fillId="5" borderId="13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9" fontId="9" fillId="6" borderId="13" xfId="0" applyNumberFormat="1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 vertical="center" wrapText="1"/>
    </xf>
    <xf numFmtId="9" fontId="0" fillId="8" borderId="13" xfId="0" applyNumberFormat="1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5" borderId="14" xfId="0" applyFill="1" applyBorder="1" applyAlignment="1">
      <alignment horizontal="center" vertical="center" wrapText="1"/>
    </xf>
    <xf numFmtId="9" fontId="0" fillId="5" borderId="13" xfId="0" applyNumberForma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6" borderId="13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9" fontId="15" fillId="6" borderId="13" xfId="0" applyNumberFormat="1" applyFont="1" applyFill="1" applyBorder="1" applyAlignment="1">
      <alignment horizontal="center"/>
    </xf>
    <xf numFmtId="0" fontId="15" fillId="6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9" fontId="0" fillId="6" borderId="13" xfId="0" applyNumberFormat="1" applyFill="1" applyBorder="1" applyAlignment="1">
      <alignment horizontal="center"/>
    </xf>
    <xf numFmtId="0" fontId="14" fillId="11" borderId="13" xfId="0" applyFont="1" applyFill="1" applyBorder="1" applyAlignment="1">
      <alignment horizontal="center" vertical="center" wrapText="1"/>
    </xf>
    <xf numFmtId="10" fontId="0" fillId="7" borderId="13" xfId="0" applyNumberForma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9" fontId="0" fillId="7" borderId="13" xfId="0" applyNumberFormat="1" applyFill="1" applyBorder="1" applyAlignment="1">
      <alignment horizontal="center" wrapText="1"/>
    </xf>
    <xf numFmtId="0" fontId="0" fillId="7" borderId="13" xfId="0" applyFill="1" applyBorder="1" applyAlignment="1">
      <alignment horizontal="center" wrapText="1"/>
    </xf>
    <xf numFmtId="9" fontId="19" fillId="12" borderId="13" xfId="0" applyNumberFormat="1" applyFont="1" applyFill="1" applyBorder="1" applyAlignment="1">
      <alignment horizontal="center" vertical="center" wrapText="1"/>
    </xf>
    <xf numFmtId="0" fontId="20" fillId="14" borderId="13" xfId="0" applyFont="1" applyFill="1" applyBorder="1" applyAlignment="1">
      <alignment horizontal="center" vertical="center"/>
    </xf>
    <xf numFmtId="0" fontId="20" fillId="14" borderId="13" xfId="0" applyFont="1" applyFill="1" applyBorder="1" applyAlignment="1">
      <alignment horizontal="center" vertical="center" wrapText="1"/>
    </xf>
    <xf numFmtId="0" fontId="21" fillId="15" borderId="13" xfId="0" applyFont="1" applyFill="1" applyBorder="1" applyAlignment="1">
      <alignment horizontal="left" vertical="center" wrapText="1"/>
    </xf>
    <xf numFmtId="10" fontId="22" fillId="15" borderId="16" xfId="0" applyNumberFormat="1" applyFont="1" applyFill="1" applyBorder="1" applyAlignment="1">
      <alignment horizontal="center" vertical="center"/>
    </xf>
    <xf numFmtId="10" fontId="23" fillId="15" borderId="13" xfId="0" applyNumberFormat="1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/>
    </xf>
    <xf numFmtId="10" fontId="24" fillId="15" borderId="13" xfId="0" applyNumberFormat="1" applyFont="1" applyFill="1" applyBorder="1" applyAlignment="1">
      <alignment horizontal="center"/>
    </xf>
    <xf numFmtId="0" fontId="25" fillId="16" borderId="13" xfId="0" applyFont="1" applyFill="1" applyBorder="1" applyAlignment="1">
      <alignment horizontal="left" vertical="center" wrapText="1"/>
    </xf>
    <xf numFmtId="10" fontId="26" fillId="16" borderId="13" xfId="0" applyNumberFormat="1" applyFont="1" applyFill="1" applyBorder="1" applyAlignment="1">
      <alignment horizontal="center" vertical="center"/>
    </xf>
    <xf numFmtId="10" fontId="27" fillId="16" borderId="13" xfId="0" applyNumberFormat="1" applyFont="1" applyFill="1" applyBorder="1" applyAlignment="1">
      <alignment horizontal="center" vertical="center"/>
    </xf>
    <xf numFmtId="10" fontId="28" fillId="16" borderId="13" xfId="0" applyNumberFormat="1" applyFont="1" applyFill="1" applyBorder="1" applyAlignment="1">
      <alignment horizontal="center" vertical="center"/>
    </xf>
    <xf numFmtId="0" fontId="27" fillId="17" borderId="13" xfId="0" applyFont="1" applyFill="1" applyBorder="1" applyAlignment="1">
      <alignment horizontal="left" vertical="center" wrapText="1"/>
    </xf>
    <xf numFmtId="10" fontId="26" fillId="2" borderId="13" xfId="0" applyNumberFormat="1" applyFont="1" applyFill="1" applyBorder="1" applyAlignment="1">
      <alignment horizontal="center" vertical="center"/>
    </xf>
    <xf numFmtId="10" fontId="27" fillId="2" borderId="13" xfId="0" applyNumberFormat="1" applyFont="1" applyFill="1" applyBorder="1" applyAlignment="1">
      <alignment horizontal="center" vertical="center"/>
    </xf>
    <xf numFmtId="0" fontId="29" fillId="17" borderId="13" xfId="0" applyFont="1" applyFill="1" applyBorder="1" applyAlignment="1">
      <alignment horizontal="left" vertical="center" wrapText="1"/>
    </xf>
    <xf numFmtId="10" fontId="30" fillId="2" borderId="13" xfId="0" applyNumberFormat="1" applyFont="1" applyFill="1" applyBorder="1" applyAlignment="1">
      <alignment horizontal="center" vertical="center"/>
    </xf>
    <xf numFmtId="0" fontId="31" fillId="15" borderId="13" xfId="0" applyFont="1" applyFill="1" applyBorder="1" applyAlignment="1">
      <alignment horizontal="left" vertical="center" wrapText="1"/>
    </xf>
    <xf numFmtId="10" fontId="22" fillId="15" borderId="13" xfId="0" applyNumberFormat="1" applyFont="1" applyFill="1" applyBorder="1" applyAlignment="1">
      <alignment horizontal="center" vertical="center"/>
    </xf>
    <xf numFmtId="0" fontId="21" fillId="13" borderId="13" xfId="0" applyFont="1" applyFill="1" applyBorder="1" applyAlignment="1">
      <alignment horizontal="center" vertical="center" wrapText="1"/>
    </xf>
    <xf numFmtId="9" fontId="21" fillId="13" borderId="13" xfId="0" applyNumberFormat="1" applyFont="1" applyFill="1" applyBorder="1" applyAlignment="1">
      <alignment horizontal="center" vertical="center" wrapText="1"/>
    </xf>
    <xf numFmtId="10" fontId="21" fillId="13" borderId="13" xfId="0" applyNumberFormat="1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9" fontId="19" fillId="18" borderId="16" xfId="0" applyNumberFormat="1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10" fontId="4" fillId="8" borderId="13" xfId="0" applyNumberFormat="1" applyFont="1" applyFill="1" applyBorder="1" applyAlignment="1">
      <alignment horizontal="center" vertical="center" wrapText="1"/>
    </xf>
    <xf numFmtId="10" fontId="32" fillId="8" borderId="18" xfId="0" applyNumberFormat="1" applyFont="1" applyFill="1" applyBorder="1" applyAlignment="1">
      <alignment horizontal="center" vertical="center" wrapText="1"/>
    </xf>
    <xf numFmtId="10" fontId="32" fillId="8" borderId="13" xfId="0" applyNumberFormat="1" applyFont="1" applyFill="1" applyBorder="1" applyAlignment="1">
      <alignment horizontal="center" vertical="center" wrapText="1"/>
    </xf>
    <xf numFmtId="10" fontId="32" fillId="8" borderId="16" xfId="0" applyNumberFormat="1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10" fontId="4" fillId="5" borderId="13" xfId="0" applyNumberFormat="1" applyFont="1" applyFill="1" applyBorder="1" applyAlignment="1">
      <alignment horizontal="center" vertical="center" wrapText="1"/>
    </xf>
    <xf numFmtId="10" fontId="32" fillId="5" borderId="14" xfId="0" applyNumberFormat="1" applyFont="1" applyFill="1" applyBorder="1" applyAlignment="1">
      <alignment horizontal="center" vertical="center" wrapText="1"/>
    </xf>
    <xf numFmtId="10" fontId="33" fillId="5" borderId="13" xfId="0" applyNumberFormat="1" applyFont="1" applyFill="1" applyBorder="1" applyAlignment="1">
      <alignment horizontal="center" vertical="center" wrapText="1"/>
    </xf>
    <xf numFmtId="10" fontId="32" fillId="5" borderId="13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10" fontId="4" fillId="2" borderId="13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0" fontId="32" fillId="0" borderId="14" xfId="0" applyNumberFormat="1" applyFont="1" applyBorder="1" applyAlignment="1">
      <alignment horizontal="center" vertical="center" wrapText="1"/>
    </xf>
    <xf numFmtId="10" fontId="33" fillId="2" borderId="13" xfId="0" applyNumberFormat="1" applyFont="1" applyFill="1" applyBorder="1" applyAlignment="1">
      <alignment horizontal="center" vertical="center" wrapText="1"/>
    </xf>
    <xf numFmtId="10" fontId="33" fillId="2" borderId="17" xfId="0" applyNumberFormat="1" applyFont="1" applyFill="1" applyBorder="1" applyAlignment="1">
      <alignment horizontal="center" vertical="center" wrapText="1"/>
    </xf>
    <xf numFmtId="10" fontId="32" fillId="0" borderId="19" xfId="0" applyNumberFormat="1" applyFont="1" applyBorder="1" applyAlignment="1">
      <alignment horizontal="center" vertical="center" wrapText="1"/>
    </xf>
    <xf numFmtId="10" fontId="32" fillId="0" borderId="13" xfId="0" applyNumberFormat="1" applyFont="1" applyBorder="1" applyAlignment="1">
      <alignment horizontal="center" vertical="center" wrapText="1"/>
    </xf>
    <xf numFmtId="10" fontId="33" fillId="5" borderId="16" xfId="0" applyNumberFormat="1" applyFont="1" applyFill="1" applyBorder="1" applyAlignment="1">
      <alignment horizontal="center" vertical="center" wrapText="1"/>
    </xf>
    <xf numFmtId="10" fontId="32" fillId="5" borderId="16" xfId="0" applyNumberFormat="1" applyFont="1" applyFill="1" applyBorder="1" applyAlignment="1">
      <alignment horizontal="center" vertical="center" wrapText="1"/>
    </xf>
    <xf numFmtId="10" fontId="32" fillId="8" borderId="14" xfId="0" applyNumberFormat="1" applyFont="1" applyFill="1" applyBorder="1" applyAlignment="1">
      <alignment horizontal="center" vertical="center" wrapText="1"/>
    </xf>
    <xf numFmtId="10" fontId="33" fillId="8" borderId="13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10" fontId="32" fillId="0" borderId="1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10" fontId="33" fillId="0" borderId="19" xfId="0" applyNumberFormat="1" applyFont="1" applyBorder="1" applyAlignment="1">
      <alignment horizontal="center" vertical="center" wrapText="1"/>
    </xf>
    <xf numFmtId="10" fontId="33" fillId="0" borderId="17" xfId="0" applyNumberFormat="1" applyFont="1" applyBorder="1" applyAlignment="1">
      <alignment horizontal="center" vertical="center" wrapText="1"/>
    </xf>
    <xf numFmtId="10" fontId="33" fillId="0" borderId="13" xfId="0" applyNumberFormat="1" applyFont="1" applyBorder="1" applyAlignment="1">
      <alignment horizontal="center" vertical="center" wrapText="1"/>
    </xf>
    <xf numFmtId="10" fontId="32" fillId="0" borderId="0" xfId="0" applyNumberFormat="1" applyFont="1" applyAlignment="1">
      <alignment horizontal="center" vertical="center" wrapText="1"/>
    </xf>
    <xf numFmtId="10" fontId="14" fillId="8" borderId="13" xfId="0" applyNumberFormat="1" applyFon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10" fontId="34" fillId="8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35" fillId="20" borderId="17" xfId="0" applyFont="1" applyFill="1" applyBorder="1" applyAlignment="1">
      <alignment horizontal="center" vertical="center" wrapText="1"/>
    </xf>
    <xf numFmtId="9" fontId="19" fillId="20" borderId="16" xfId="0" applyNumberFormat="1" applyFont="1" applyFill="1" applyBorder="1" applyAlignment="1">
      <alignment horizontal="center" vertical="center" wrapText="1"/>
    </xf>
    <xf numFmtId="0" fontId="20" fillId="22" borderId="13" xfId="0" applyFont="1" applyFill="1" applyBorder="1" applyAlignment="1">
      <alignment horizontal="center" vertical="center"/>
    </xf>
    <xf numFmtId="0" fontId="20" fillId="22" borderId="13" xfId="0" applyFont="1" applyFill="1" applyBorder="1" applyAlignment="1">
      <alignment horizontal="center" vertical="center" wrapText="1"/>
    </xf>
    <xf numFmtId="0" fontId="4" fillId="22" borderId="17" xfId="0" applyFont="1" applyFill="1" applyBorder="1" applyAlignment="1">
      <alignment horizontal="center" vertical="center" wrapText="1"/>
    </xf>
    <xf numFmtId="10" fontId="4" fillId="22" borderId="17" xfId="0" applyNumberFormat="1" applyFont="1" applyFill="1" applyBorder="1" applyAlignment="1">
      <alignment horizontal="center" vertical="center" wrapText="1"/>
    </xf>
    <xf numFmtId="0" fontId="5" fillId="22" borderId="17" xfId="0" applyFont="1" applyFill="1" applyBorder="1" applyAlignment="1">
      <alignment horizontal="center" vertical="center" wrapText="1"/>
    </xf>
    <xf numFmtId="0" fontId="0" fillId="22" borderId="20" xfId="0" applyFill="1" applyBorder="1" applyAlignment="1">
      <alignment horizontal="center" vertical="center" wrapText="1"/>
    </xf>
    <xf numFmtId="10" fontId="32" fillId="22" borderId="13" xfId="0" applyNumberFormat="1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10" fontId="4" fillId="21" borderId="13" xfId="0" applyNumberFormat="1" applyFont="1" applyFill="1" applyBorder="1" applyAlignment="1">
      <alignment horizontal="center" vertical="center" wrapText="1"/>
    </xf>
    <xf numFmtId="0" fontId="5" fillId="21" borderId="13" xfId="0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10" fontId="32" fillId="21" borderId="13" xfId="0" applyNumberFormat="1" applyFont="1" applyFill="1" applyBorder="1" applyAlignment="1">
      <alignment horizontal="center" vertical="center" wrapText="1"/>
    </xf>
    <xf numFmtId="10" fontId="33" fillId="21" borderId="13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0" fontId="32" fillId="0" borderId="13" xfId="0" applyNumberFormat="1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36" fillId="2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22" borderId="13" xfId="0" applyFont="1" applyFill="1" applyBorder="1" applyAlignment="1">
      <alignment horizontal="center" vertical="center" wrapText="1"/>
    </xf>
    <xf numFmtId="10" fontId="4" fillId="22" borderId="13" xfId="0" applyNumberFormat="1" applyFont="1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15" xfId="0" applyFill="1" applyBorder="1" applyAlignment="1">
      <alignment horizontal="center" vertical="center" wrapText="1"/>
    </xf>
    <xf numFmtId="10" fontId="4" fillId="6" borderId="13" xfId="0" applyNumberFormat="1" applyFont="1" applyFill="1" applyBorder="1" applyAlignment="1">
      <alignment horizontal="center" vertical="center" wrapText="1"/>
    </xf>
    <xf numFmtId="0" fontId="0" fillId="21" borderId="13" xfId="0" applyFill="1" applyBorder="1" applyAlignment="1">
      <alignment horizontal="center" vertical="center" wrapText="1"/>
    </xf>
    <xf numFmtId="0" fontId="0" fillId="21" borderId="15" xfId="0" applyFill="1" applyBorder="1" applyAlignment="1">
      <alignment horizontal="center" vertical="center" wrapText="1"/>
    </xf>
    <xf numFmtId="0" fontId="34" fillId="22" borderId="13" xfId="0" applyFont="1" applyFill="1" applyBorder="1" applyAlignment="1">
      <alignment horizontal="center" vertical="center" wrapText="1"/>
    </xf>
    <xf numFmtId="10" fontId="34" fillId="22" borderId="13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/>
    </xf>
    <xf numFmtId="0" fontId="13" fillId="10" borderId="13" xfId="0" applyFont="1" applyFill="1" applyBorder="1" applyAlignment="1">
      <alignment horizontal="center"/>
    </xf>
    <xf numFmtId="0" fontId="14" fillId="10" borderId="13" xfId="0" applyFont="1" applyFill="1" applyBorder="1" applyAlignment="1">
      <alignment horizontal="center" wrapText="1"/>
    </xf>
    <xf numFmtId="9" fontId="0" fillId="6" borderId="13" xfId="0" applyNumberFormat="1" applyFill="1" applyBorder="1" applyAlignment="1">
      <alignment horizontal="center" wrapText="1"/>
    </xf>
    <xf numFmtId="0" fontId="0" fillId="6" borderId="13" xfId="0" applyFill="1" applyBorder="1" applyAlignment="1">
      <alignment horizontal="center" wrapText="1"/>
    </xf>
    <xf numFmtId="0" fontId="17" fillId="11" borderId="13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9" fontId="19" fillId="11" borderId="13" xfId="0" applyNumberFormat="1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10" fontId="4" fillId="11" borderId="13" xfId="0" applyNumberFormat="1" applyFont="1" applyFill="1" applyBorder="1" applyAlignment="1">
      <alignment horizontal="center" vertical="center" wrapText="1"/>
    </xf>
    <xf numFmtId="0" fontId="32" fillId="11" borderId="13" xfId="0" applyFont="1" applyFill="1" applyBorder="1" applyAlignment="1">
      <alignment horizontal="center" vertical="center" wrapText="1"/>
    </xf>
    <xf numFmtId="10" fontId="32" fillId="11" borderId="13" xfId="0" applyNumberFormat="1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10" fontId="4" fillId="7" borderId="13" xfId="0" applyNumberFormat="1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10" fontId="32" fillId="7" borderId="13" xfId="0" applyNumberFormat="1" applyFont="1" applyFill="1" applyBorder="1" applyAlignment="1">
      <alignment horizontal="center" vertical="center" wrapText="1"/>
    </xf>
    <xf numFmtId="10" fontId="33" fillId="7" borderId="13" xfId="0" applyNumberFormat="1" applyFont="1" applyFill="1" applyBorder="1" applyAlignment="1">
      <alignment horizontal="center" vertical="center" wrapText="1"/>
    </xf>
    <xf numFmtId="0" fontId="32" fillId="2" borderId="13" xfId="0" applyFont="1" applyFill="1" applyBorder="1" applyAlignment="1">
      <alignment horizontal="center" vertical="center" wrapText="1"/>
    </xf>
    <xf numFmtId="10" fontId="34" fillId="7" borderId="13" xfId="0" applyNumberFormat="1" applyFont="1" applyFill="1" applyBorder="1" applyAlignment="1">
      <alignment horizontal="center" vertical="center" wrapText="1"/>
    </xf>
    <xf numFmtId="0" fontId="32" fillId="7" borderId="13" xfId="0" applyFont="1" applyFill="1" applyBorder="1" applyAlignment="1">
      <alignment horizontal="center" vertical="center" wrapText="1"/>
    </xf>
    <xf numFmtId="0" fontId="34" fillId="7" borderId="13" xfId="0" applyFont="1" applyFill="1" applyBorder="1" applyAlignment="1">
      <alignment horizontal="center" vertical="center" wrapText="1"/>
    </xf>
    <xf numFmtId="0" fontId="34" fillId="11" borderId="13" xfId="0" applyFont="1" applyFill="1" applyBorder="1" applyAlignment="1">
      <alignment horizontal="center" vertical="center" wrapText="1"/>
    </xf>
    <xf numFmtId="10" fontId="34" fillId="11" borderId="13" xfId="0" applyNumberFormat="1" applyFont="1" applyFill="1" applyBorder="1" applyAlignment="1">
      <alignment horizontal="center" vertical="center" wrapText="1"/>
    </xf>
    <xf numFmtId="0" fontId="38" fillId="0" borderId="0" xfId="0" applyFont="1"/>
    <xf numFmtId="0" fontId="40" fillId="0" borderId="0" xfId="1"/>
    <xf numFmtId="10" fontId="40" fillId="0" borderId="0" xfId="1" applyNumberFormat="1"/>
    <xf numFmtId="0" fontId="39" fillId="0" borderId="0" xfId="1" applyFont="1"/>
    <xf numFmtId="0" fontId="14" fillId="10" borderId="13" xfId="0" applyFont="1" applyFill="1" applyBorder="1" applyAlignment="1">
      <alignment horizontal="center" wrapText="1"/>
    </xf>
    <xf numFmtId="0" fontId="14" fillId="10" borderId="13" xfId="0" applyFont="1" applyFill="1" applyBorder="1" applyAlignment="1">
      <alignment horizontal="center"/>
    </xf>
    <xf numFmtId="0" fontId="0" fillId="21" borderId="13" xfId="0" applyFill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0" fontId="16" fillId="20" borderId="13" xfId="0" applyFont="1" applyFill="1" applyBorder="1" applyAlignment="1">
      <alignment horizontal="center" vertical="center" wrapText="1"/>
    </xf>
    <xf numFmtId="0" fontId="35" fillId="20" borderId="13" xfId="0" applyFont="1" applyFill="1" applyBorder="1" applyAlignment="1">
      <alignment horizontal="center" vertical="center" wrapText="1"/>
    </xf>
    <xf numFmtId="0" fontId="2" fillId="20" borderId="13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wrapText="1"/>
    </xf>
    <xf numFmtId="0" fontId="14" fillId="11" borderId="1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 vertical="center" wrapText="1"/>
    </xf>
    <xf numFmtId="0" fontId="25" fillId="16" borderId="13" xfId="0" applyFont="1" applyFill="1" applyBorder="1" applyAlignment="1">
      <alignment horizontal="left" vertical="center" wrapText="1"/>
    </xf>
    <xf numFmtId="0" fontId="29" fillId="17" borderId="13" xfId="0" applyFont="1" applyFill="1" applyBorder="1" applyAlignment="1">
      <alignment horizontal="left" vertical="center" wrapText="1"/>
    </xf>
    <xf numFmtId="0" fontId="18" fillId="13" borderId="13" xfId="0" applyFont="1" applyFill="1" applyBorder="1" applyAlignment="1">
      <alignment horizontal="center"/>
    </xf>
    <xf numFmtId="0" fontId="21" fillId="15" borderId="13" xfId="0" applyFont="1" applyFill="1" applyBorder="1" applyAlignment="1">
      <alignment horizontal="left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32" fillId="19" borderId="13" xfId="0" applyFont="1" applyFill="1" applyBorder="1" applyAlignment="1">
      <alignment horizontal="center"/>
    </xf>
    <xf numFmtId="0" fontId="16" fillId="18" borderId="13" xfId="0" applyFont="1" applyFill="1" applyBorder="1" applyAlignment="1">
      <alignment horizontal="center" vertical="center" wrapText="1"/>
    </xf>
    <xf numFmtId="0" fontId="17" fillId="18" borderId="13" xfId="0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 wrapText="1"/>
    </xf>
    <xf numFmtId="0" fontId="32" fillId="11" borderId="13" xfId="0" applyFont="1" applyFill="1" applyBorder="1" applyAlignment="1">
      <alignment horizontal="center"/>
    </xf>
    <xf numFmtId="0" fontId="16" fillId="11" borderId="13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7C9E5FA-A22B-4FF0-A075-C5428FDAE9A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D5B5"/>
      <rgbColor rgb="FFFF00FF"/>
      <rgbColor rgb="FFF1EFE8"/>
      <rgbColor rgb="FF800000"/>
      <rgbColor rgb="FF008000"/>
      <rgbColor rgb="FF000080"/>
      <rgbColor rgb="FF5F5E5A"/>
      <rgbColor rgb="FF800080"/>
      <rgbColor rgb="FF0F6E56"/>
      <rgbColor rgb="FFB3B3B3"/>
      <rgbColor rgb="FF7F7F7F"/>
      <rgbColor rgb="FFBDD7EE"/>
      <rgbColor rgb="FFC0504D"/>
      <rgbColor rgb="FFF9F9F9"/>
      <rgbColor rgb="FFE1F5EE"/>
      <rgbColor rgb="FF660066"/>
      <rgbColor rgb="FFF4B084"/>
      <rgbColor rgb="FF185FA5"/>
      <rgbColor rgb="FFC6D9F1"/>
      <rgbColor rgb="FF000080"/>
      <rgbColor rgb="FFFF00FF"/>
      <rgbColor rgb="FFFFD1D1"/>
      <rgbColor rgb="FF00FFFF"/>
      <rgbColor rgb="FF800080"/>
      <rgbColor rgb="FF800000"/>
      <rgbColor rgb="FF008080"/>
      <rgbColor rgb="FF0000FF"/>
      <rgbColor rgb="FF00CCFF"/>
      <rgbColor rgb="FFDDEBF7"/>
      <rgbColor rgb="FFE2EFD9"/>
      <rgbColor rgb="FFEBF1DE"/>
      <rgbColor rgb="FF9BC2E6"/>
      <rgbColor rgb="FFFF9797"/>
      <rgbColor rgb="FFD3D1C7"/>
      <rgbColor rgb="FFFAC090"/>
      <rgbColor rgb="FF2E75B6"/>
      <rgbColor rgb="FFA8D08D"/>
      <rgbColor rgb="FF92D050"/>
      <rgbColor rgb="FFFCD5B4"/>
      <rgbColor rgb="FFF79646"/>
      <rgbColor rgb="FFD9D9D9"/>
      <rgbColor rgb="FF8064A2"/>
      <rgbColor rgb="FF9BBB59"/>
      <rgbColor rgb="FF17375E"/>
      <rgbColor rgb="FF4F81BD"/>
      <rgbColor rgb="FF085041"/>
      <rgbColor rgb="FF242424"/>
      <rgbColor rgb="FF993C1D"/>
      <rgbColor rgb="FF595959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A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E01-46CD-A368-959B5E7277D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E01-46CD-A368-959B5E7277D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E01-46CD-A368-959B5E7277D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E01-46CD-A368-959B5E7277D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01-46CD-A368-959B5E7277D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01-46CD-A368-959B5E7277D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01-46CD-A368-959B5E7277D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01-46CD-A368-959B5E7277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Introducción!$B$10:$B$13</c:f>
              <c:strCache>
                <c:ptCount val="4"/>
                <c:pt idx="0">
                  <c:v>Aspecto Funcional</c:v>
                </c:pt>
                <c:pt idx="1">
                  <c:v>Aspecto Técnico</c:v>
                </c:pt>
                <c:pt idx="2">
                  <c:v>Aspecto Económico</c:v>
                </c:pt>
                <c:pt idx="3">
                  <c:v>Aspecto Proveedor</c:v>
                </c:pt>
              </c:strCache>
            </c:strRef>
          </c:cat>
          <c:val>
            <c:numRef>
              <c:f>Introducción!$C$10:$C$13</c:f>
              <c:numCache>
                <c:formatCode>0%</c:formatCode>
                <c:ptCount val="4"/>
                <c:pt idx="0">
                  <c:v>0.45</c:v>
                </c:pt>
                <c:pt idx="1">
                  <c:v>0.15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01-46CD-A368-959B5E727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Ponderación'!$D$2</c:f>
              <c:strCache>
                <c:ptCount val="1"/>
                <c:pt idx="0">
                  <c:v>MS Dynamics 365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Ponderación'!$C$3:$C$6</c:f>
              <c:strCache>
                <c:ptCount val="4"/>
                <c:pt idx="0">
                  <c:v>FUNCIONAL</c:v>
                </c:pt>
                <c:pt idx="1">
                  <c:v>TÉCNICO</c:v>
                </c:pt>
                <c:pt idx="2">
                  <c:v>ECONÓMICO</c:v>
                </c:pt>
                <c:pt idx="3">
                  <c:v>PROVEEDOR</c:v>
                </c:pt>
              </c:strCache>
            </c:strRef>
          </c:cat>
          <c:val>
            <c:numRef>
              <c:f>'Gráfico Ponderación'!$D$3:$D$6</c:f>
              <c:numCache>
                <c:formatCode>0.00%</c:formatCode>
                <c:ptCount val="4"/>
                <c:pt idx="0">
                  <c:v>0.41428125000000005</c:v>
                </c:pt>
                <c:pt idx="1">
                  <c:v>0.14607571250624998</c:v>
                </c:pt>
                <c:pt idx="2">
                  <c:v>0.12766200000000003</c:v>
                </c:pt>
                <c:pt idx="3">
                  <c:v>0.19226722237499999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1-434F-BA7A-00803EB032DF}"/>
            </c:ext>
          </c:extLst>
        </c:ser>
        <c:ser>
          <c:idx val="1"/>
          <c:order val="1"/>
          <c:tx>
            <c:strRef>
              <c:f>'Gráfico Ponderación'!$E$2</c:f>
              <c:strCache>
                <c:ptCount val="1"/>
                <c:pt idx="0">
                  <c:v>Zoho One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Ponderación'!$C$3:$C$6</c:f>
              <c:strCache>
                <c:ptCount val="4"/>
                <c:pt idx="0">
                  <c:v>FUNCIONAL</c:v>
                </c:pt>
                <c:pt idx="1">
                  <c:v>TÉCNICO</c:v>
                </c:pt>
                <c:pt idx="2">
                  <c:v>ECONÓMICO</c:v>
                </c:pt>
                <c:pt idx="3">
                  <c:v>PROVEEDOR</c:v>
                </c:pt>
              </c:strCache>
            </c:strRef>
          </c:cat>
          <c:val>
            <c:numRef>
              <c:f>'Gráfico Ponderación'!$E$3:$E$6</c:f>
              <c:numCache>
                <c:formatCode>0.00%</c:formatCode>
                <c:ptCount val="4"/>
                <c:pt idx="0">
                  <c:v>0.41731875000000007</c:v>
                </c:pt>
                <c:pt idx="1">
                  <c:v>0.13452287501249999</c:v>
                </c:pt>
                <c:pt idx="2">
                  <c:v>0.17982700000000001</c:v>
                </c:pt>
                <c:pt idx="3">
                  <c:v>0.17337948625000002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1-434F-BA7A-00803EB0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4992"/>
        <c:axId val="47626376"/>
      </c:barChart>
      <c:lineChart>
        <c:grouping val="standard"/>
        <c:varyColors val="0"/>
        <c:ser>
          <c:idx val="2"/>
          <c:order val="2"/>
          <c:tx>
            <c:strRef>
              <c:f>'Gráfico Ponderación'!$F$2</c:f>
              <c:strCache>
                <c:ptCount val="1"/>
                <c:pt idx="0">
                  <c:v>Máximo</c:v>
                </c:pt>
              </c:strCache>
            </c:strRef>
          </c:tx>
          <c:spPr>
            <a:ln w="28440" cap="rnd">
              <a:solidFill>
                <a:srgbClr val="92D050"/>
              </a:solidFill>
              <a:round/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Ponderación'!$C$3:$C$6</c:f>
              <c:strCache>
                <c:ptCount val="4"/>
                <c:pt idx="0">
                  <c:v>FUNCIONAL</c:v>
                </c:pt>
                <c:pt idx="1">
                  <c:v>TÉCNICO</c:v>
                </c:pt>
                <c:pt idx="2">
                  <c:v>ECONÓMICO</c:v>
                </c:pt>
                <c:pt idx="3">
                  <c:v>PROVEEDOR</c:v>
                </c:pt>
              </c:strCache>
            </c:strRef>
          </c:cat>
          <c:val>
            <c:numRef>
              <c:f>'Gráfico Ponderación'!$F$3:$F$6</c:f>
              <c:numCache>
                <c:formatCode>0.00%</c:formatCode>
                <c:ptCount val="4"/>
                <c:pt idx="0">
                  <c:v>0.45</c:v>
                </c:pt>
                <c:pt idx="1">
                  <c:v>0.15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1-434F-BA7A-00803EB0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554992"/>
        <c:axId val="47626376"/>
      </c:lineChart>
      <c:catAx>
        <c:axId val="19554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7626376"/>
        <c:crosses val="autoZero"/>
        <c:auto val="1"/>
        <c:lblAlgn val="ctr"/>
        <c:lblOffset val="100"/>
        <c:noMultiLvlLbl val="0"/>
      </c:catAx>
      <c:valAx>
        <c:axId val="47626376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crossAx val="195549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46103031089137"/>
          <c:y val="0.91128325078625405"/>
          <c:w val="0.50871431768703301"/>
          <c:h val="6.5598126764766701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1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2330280</xdr:colOff>
      <xdr:row>1</xdr:row>
      <xdr:rowOff>88920</xdr:rowOff>
    </xdr:from>
    <xdr:to>
      <xdr:col>2</xdr:col>
      <xdr:colOff>531360</xdr:colOff>
      <xdr:row>8</xdr:row>
      <xdr:rowOff>48960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02240" y="270000"/>
          <a:ext cx="1372680" cy="132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415800</xdr:colOff>
      <xdr:row>1</xdr:row>
      <xdr:rowOff>2880</xdr:rowOff>
    </xdr:from>
    <xdr:to>
      <xdr:col>3</xdr:col>
      <xdr:colOff>1080</xdr:colOff>
      <xdr:row>8</xdr:row>
      <xdr:rowOff>48960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759360" y="183960"/>
          <a:ext cx="2757240" cy="1407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733320</xdr:colOff>
      <xdr:row>7</xdr:row>
      <xdr:rowOff>47520</xdr:rowOff>
    </xdr:from>
    <xdr:to>
      <xdr:col>8</xdr:col>
      <xdr:colOff>115560</xdr:colOff>
      <xdr:row>11</xdr:row>
      <xdr:rowOff>712440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95400</xdr:colOff>
      <xdr:row>9</xdr:row>
      <xdr:rowOff>28440</xdr:rowOff>
    </xdr:from>
    <xdr:ext cx="7209240" cy="33517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8D0D0-CE29-407B-8E51-AD1184299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Normal="100" workbookViewId="0">
      <selection activeCell="A14" sqref="A14"/>
    </sheetView>
  </sheetViews>
  <sheetFormatPr defaultColWidth="8.7109375" defaultRowHeight="14.45"/>
  <cols>
    <col min="1" max="3" width="45" customWidth="1"/>
  </cols>
  <sheetData>
    <row r="1" spans="1:3" ht="14.25" customHeight="1">
      <c r="A1" s="4"/>
      <c r="B1" s="5"/>
      <c r="C1" s="6"/>
    </row>
    <row r="2" spans="1:3" ht="19.5" customHeight="1">
      <c r="A2" s="7" t="s">
        <v>0</v>
      </c>
      <c r="B2" s="8"/>
      <c r="C2" s="9"/>
    </row>
    <row r="3" spans="1:3" ht="16.5" customHeight="1">
      <c r="A3" s="10" t="s">
        <v>1</v>
      </c>
      <c r="B3" s="8"/>
      <c r="C3" s="9"/>
    </row>
    <row r="4" spans="1:3" ht="14.25" customHeight="1">
      <c r="A4" s="11" t="s">
        <v>2</v>
      </c>
      <c r="B4" s="8"/>
      <c r="C4" s="9"/>
    </row>
    <row r="5" spans="1:3" ht="14.25" customHeight="1">
      <c r="A5" s="12"/>
      <c r="B5" s="8"/>
      <c r="C5" s="9"/>
    </row>
    <row r="6" spans="1:3" ht="14.25" customHeight="1">
      <c r="A6" s="13" t="s">
        <v>3</v>
      </c>
      <c r="B6" s="14" t="s">
        <v>4</v>
      </c>
      <c r="C6" s="9"/>
    </row>
    <row r="7" spans="1:3" ht="14.25" customHeight="1">
      <c r="A7" s="15" t="s">
        <v>5</v>
      </c>
      <c r="B7" s="16" t="s">
        <v>6</v>
      </c>
      <c r="C7" s="6"/>
    </row>
    <row r="8" spans="1:3" ht="14.25" customHeight="1">
      <c r="A8" s="17" t="s">
        <v>7</v>
      </c>
      <c r="B8" s="18" t="s">
        <v>8</v>
      </c>
      <c r="C8" s="9"/>
    </row>
    <row r="9" spans="1:3" ht="14.25" customHeight="1">
      <c r="A9" s="13" t="s">
        <v>9</v>
      </c>
      <c r="B9" s="19" t="s">
        <v>10</v>
      </c>
      <c r="C9" s="20"/>
    </row>
    <row r="10" spans="1:3" ht="14.25" customHeight="1">
      <c r="A10" s="15" t="s">
        <v>11</v>
      </c>
      <c r="B10" s="16" t="s">
        <v>12</v>
      </c>
      <c r="C10" s="9"/>
    </row>
    <row r="11" spans="1:3" ht="14.25" customHeight="1">
      <c r="A11" s="15" t="s">
        <v>13</v>
      </c>
      <c r="B11" s="21" t="s">
        <v>14</v>
      </c>
      <c r="C11" s="22"/>
    </row>
    <row r="12" spans="1:3" ht="14.25" customHeight="1">
      <c r="A12" s="23"/>
      <c r="B12" s="2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83"/>
  <sheetViews>
    <sheetView topLeftCell="A9" zoomScaleNormal="100" workbookViewId="0">
      <selection activeCell="A11" sqref="A11"/>
    </sheetView>
  </sheetViews>
  <sheetFormatPr defaultColWidth="11.42578125" defaultRowHeight="14.45"/>
  <cols>
    <col min="1" max="1" width="27.7109375" customWidth="1"/>
    <col min="2" max="2" width="32.140625" customWidth="1"/>
    <col min="3" max="3" width="30" customWidth="1"/>
    <col min="4" max="4" width="46.42578125" customWidth="1"/>
    <col min="5" max="5" width="34" customWidth="1"/>
    <col min="6" max="6" width="20.5703125" customWidth="1"/>
  </cols>
  <sheetData>
    <row r="2" spans="1:4" ht="17.25" customHeight="1">
      <c r="A2" s="24" t="s">
        <v>15</v>
      </c>
      <c r="B2" s="25" t="s">
        <v>16</v>
      </c>
      <c r="D2" s="26" t="s">
        <v>17</v>
      </c>
    </row>
    <row r="3" spans="1:4" ht="14.25" customHeight="1">
      <c r="B3" s="25" t="s">
        <v>18</v>
      </c>
      <c r="D3" t="s">
        <v>19</v>
      </c>
    </row>
    <row r="4" spans="1:4" ht="14.25" customHeight="1">
      <c r="B4" s="25"/>
      <c r="D4" t="s">
        <v>20</v>
      </c>
    </row>
    <row r="5" spans="1:4" ht="14.25" customHeight="1">
      <c r="B5" s="25"/>
      <c r="D5" t="s">
        <v>21</v>
      </c>
    </row>
    <row r="6" spans="1:4" ht="17.25" customHeight="1">
      <c r="A6" s="24" t="s">
        <v>22</v>
      </c>
      <c r="B6" s="25"/>
      <c r="D6" t="s">
        <v>23</v>
      </c>
    </row>
    <row r="7" spans="1:4" ht="14.25" customHeight="1">
      <c r="B7" s="25"/>
    </row>
    <row r="8" spans="1:4" ht="22.5" customHeight="1">
      <c r="B8" s="195" t="s">
        <v>24</v>
      </c>
      <c r="C8" s="195" t="s">
        <v>25</v>
      </c>
      <c r="D8" s="195" t="s">
        <v>26</v>
      </c>
    </row>
    <row r="9" spans="1:4" ht="14.25" customHeight="1">
      <c r="B9" s="195"/>
      <c r="C9" s="195"/>
      <c r="D9" s="195"/>
    </row>
    <row r="10" spans="1:4" ht="60.75" customHeight="1">
      <c r="B10" s="27" t="s">
        <v>27</v>
      </c>
      <c r="C10" s="28">
        <v>0.45</v>
      </c>
      <c r="D10" s="29" t="s">
        <v>28</v>
      </c>
    </row>
    <row r="11" spans="1:4" ht="66" customHeight="1">
      <c r="B11" s="30" t="s">
        <v>29</v>
      </c>
      <c r="C11" s="31">
        <v>0.15</v>
      </c>
      <c r="D11" s="32" t="s">
        <v>30</v>
      </c>
    </row>
    <row r="12" spans="1:4" ht="62.25" customHeight="1">
      <c r="B12" s="33" t="s">
        <v>31</v>
      </c>
      <c r="C12" s="34">
        <v>0.2</v>
      </c>
      <c r="D12" s="35" t="s">
        <v>32</v>
      </c>
    </row>
    <row r="13" spans="1:4" ht="63.75" customHeight="1">
      <c r="B13" s="36" t="s">
        <v>33</v>
      </c>
      <c r="C13" s="37">
        <v>0.2</v>
      </c>
      <c r="D13" s="38" t="s">
        <v>34</v>
      </c>
    </row>
    <row r="16" spans="1:4" ht="18" customHeight="1">
      <c r="A16" s="24" t="s">
        <v>35</v>
      </c>
      <c r="B16" s="39" t="s">
        <v>36</v>
      </c>
      <c r="C16" s="40" t="s">
        <v>37</v>
      </c>
      <c r="D16" s="41">
        <v>1</v>
      </c>
    </row>
    <row r="17" spans="2:6" ht="30.75" customHeight="1">
      <c r="B17" s="42" t="s">
        <v>38</v>
      </c>
      <c r="C17" s="43" t="s">
        <v>39</v>
      </c>
      <c r="D17" s="44">
        <v>0.75</v>
      </c>
    </row>
    <row r="18" spans="2:6" ht="30.75" customHeight="1">
      <c r="B18" s="39" t="s">
        <v>40</v>
      </c>
      <c r="C18" s="40" t="s">
        <v>41</v>
      </c>
      <c r="D18" s="41">
        <v>0.5</v>
      </c>
    </row>
    <row r="19" spans="2:6" ht="30.75" customHeight="1">
      <c r="B19" s="42" t="s">
        <v>42</v>
      </c>
      <c r="C19" s="43" t="s">
        <v>43</v>
      </c>
      <c r="D19" s="44">
        <v>0.25</v>
      </c>
    </row>
    <row r="20" spans="2:6" ht="30.75" customHeight="1">
      <c r="B20" s="39" t="s">
        <v>44</v>
      </c>
      <c r="C20" s="40" t="s">
        <v>45</v>
      </c>
      <c r="D20" s="41">
        <v>0</v>
      </c>
    </row>
    <row r="22" spans="2:6" ht="14.25" customHeight="1">
      <c r="B22" s="45" t="s">
        <v>46</v>
      </c>
    </row>
    <row r="23" spans="2:6" ht="14.25" customHeight="1">
      <c r="B23" s="26" t="s">
        <v>47</v>
      </c>
    </row>
    <row r="24" spans="2:6" ht="14.25" customHeight="1">
      <c r="B24" s="46" t="s">
        <v>48</v>
      </c>
    </row>
    <row r="26" spans="2:6" ht="14.25" customHeight="1">
      <c r="B26" s="189" t="s">
        <v>49</v>
      </c>
      <c r="C26" s="189"/>
    </row>
    <row r="27" spans="2:6" ht="14.25" customHeight="1">
      <c r="B27" s="47" t="s">
        <v>50</v>
      </c>
      <c r="C27" s="47" t="s">
        <v>51</v>
      </c>
      <c r="D27" s="48" t="s">
        <v>52</v>
      </c>
      <c r="E27" s="187" t="s">
        <v>53</v>
      </c>
      <c r="F27" s="187"/>
    </row>
    <row r="28" spans="2:6" ht="14.25" customHeight="1">
      <c r="B28" s="49">
        <v>1</v>
      </c>
      <c r="C28" s="50" t="s">
        <v>54</v>
      </c>
      <c r="E28" s="51" t="s">
        <v>50</v>
      </c>
      <c r="F28" s="51" t="s">
        <v>55</v>
      </c>
    </row>
    <row r="29" spans="2:6" ht="14.25" customHeight="1">
      <c r="B29" s="49">
        <v>0.75</v>
      </c>
      <c r="C29" s="50" t="s">
        <v>56</v>
      </c>
      <c r="E29" s="49">
        <v>1</v>
      </c>
      <c r="F29" s="52" t="s">
        <v>57</v>
      </c>
    </row>
    <row r="30" spans="2:6" ht="14.25" customHeight="1">
      <c r="B30" s="49">
        <v>0.5</v>
      </c>
      <c r="C30" s="50" t="s">
        <v>58</v>
      </c>
      <c r="E30" s="49">
        <v>0.75</v>
      </c>
      <c r="F30" s="52" t="s">
        <v>59</v>
      </c>
    </row>
    <row r="31" spans="2:6" ht="14.25" customHeight="1">
      <c r="B31" s="49">
        <v>0.25</v>
      </c>
      <c r="C31" s="50" t="s">
        <v>60</v>
      </c>
      <c r="E31" s="49">
        <v>0.5</v>
      </c>
      <c r="F31" s="52" t="s">
        <v>61</v>
      </c>
    </row>
    <row r="32" spans="2:6" ht="14.25" customHeight="1">
      <c r="B32" s="53">
        <v>0</v>
      </c>
      <c r="C32" s="52" t="s">
        <v>62</v>
      </c>
      <c r="E32" s="49">
        <v>0.25</v>
      </c>
      <c r="F32" s="52" t="s">
        <v>63</v>
      </c>
    </row>
    <row r="33" spans="2:6" ht="14.25" customHeight="1">
      <c r="E33" s="53">
        <v>0</v>
      </c>
      <c r="F33" s="52" t="s">
        <v>64</v>
      </c>
    </row>
    <row r="34" spans="2:6" ht="14.25" customHeight="1">
      <c r="B34" s="194" t="s">
        <v>65</v>
      </c>
      <c r="C34" s="194"/>
    </row>
    <row r="35" spans="2:6" ht="14.25" customHeight="1">
      <c r="B35" s="54" t="s">
        <v>50</v>
      </c>
      <c r="C35" s="54" t="s">
        <v>66</v>
      </c>
      <c r="E35" s="187" t="s">
        <v>67</v>
      </c>
      <c r="F35" s="187"/>
    </row>
    <row r="36" spans="2:6" ht="14.25" customHeight="1">
      <c r="B36" s="55">
        <v>0</v>
      </c>
      <c r="C36" s="56" t="s">
        <v>68</v>
      </c>
      <c r="E36" s="57" t="s">
        <v>50</v>
      </c>
      <c r="F36" s="57" t="s">
        <v>69</v>
      </c>
    </row>
    <row r="37" spans="2:6" ht="14.25" customHeight="1">
      <c r="B37" s="55">
        <v>0.5</v>
      </c>
      <c r="C37" s="56" t="s">
        <v>70</v>
      </c>
      <c r="E37" s="49">
        <v>1</v>
      </c>
      <c r="F37" s="58" t="s">
        <v>71</v>
      </c>
    </row>
    <row r="38" spans="2:6" ht="28.5" customHeight="1">
      <c r="B38" s="55">
        <v>1</v>
      </c>
      <c r="C38" s="56" t="s">
        <v>72</v>
      </c>
      <c r="E38" s="49">
        <v>0.75</v>
      </c>
      <c r="F38" s="58" t="s">
        <v>73</v>
      </c>
    </row>
    <row r="39" spans="2:6" ht="14.25" customHeight="1">
      <c r="E39" s="49">
        <v>0.5</v>
      </c>
      <c r="F39" s="58" t="s">
        <v>74</v>
      </c>
    </row>
    <row r="40" spans="2:6" ht="14.25" customHeight="1">
      <c r="B40" s="193" t="s">
        <v>75</v>
      </c>
      <c r="C40" s="193"/>
      <c r="E40" s="49">
        <v>0.25</v>
      </c>
      <c r="F40" s="58" t="s">
        <v>76</v>
      </c>
    </row>
    <row r="41" spans="2:6" ht="28.5" customHeight="1">
      <c r="B41" s="193" t="s">
        <v>77</v>
      </c>
      <c r="C41" s="193"/>
      <c r="E41" s="53">
        <v>0</v>
      </c>
      <c r="F41" s="58" t="s">
        <v>78</v>
      </c>
    </row>
    <row r="42" spans="2:6" ht="14.25" customHeight="1">
      <c r="B42" s="2" t="s">
        <v>79</v>
      </c>
      <c r="C42" s="2" t="s">
        <v>80</v>
      </c>
    </row>
    <row r="43" spans="2:6" ht="28.5" customHeight="1">
      <c r="B43" s="59">
        <v>1</v>
      </c>
      <c r="C43" s="60" t="s">
        <v>81</v>
      </c>
    </row>
    <row r="44" spans="2:6" ht="14.25" customHeight="1">
      <c r="B44" s="59">
        <v>0.75</v>
      </c>
      <c r="C44" s="60" t="s">
        <v>82</v>
      </c>
    </row>
    <row r="45" spans="2:6" ht="14.25" customHeight="1">
      <c r="B45" s="59">
        <v>0.5</v>
      </c>
      <c r="C45" s="60" t="s">
        <v>83</v>
      </c>
    </row>
    <row r="46" spans="2:6" ht="14.25" customHeight="1">
      <c r="B46" s="59">
        <v>0.25</v>
      </c>
      <c r="C46" s="60" t="s">
        <v>84</v>
      </c>
    </row>
    <row r="47" spans="2:6" ht="14.25" customHeight="1">
      <c r="B47" s="59">
        <v>0</v>
      </c>
      <c r="C47" s="60" t="s">
        <v>85</v>
      </c>
    </row>
    <row r="49" spans="2:3" ht="14.25" customHeight="1">
      <c r="B49" s="193" t="s">
        <v>86</v>
      </c>
      <c r="C49" s="193"/>
    </row>
    <row r="50" spans="2:3" ht="43.5" customHeight="1">
      <c r="B50" s="193" t="s">
        <v>87</v>
      </c>
      <c r="C50" s="193"/>
    </row>
    <row r="51" spans="2:3" ht="14.25" customHeight="1">
      <c r="B51" s="2" t="s">
        <v>79</v>
      </c>
      <c r="C51" s="2" t="s">
        <v>80</v>
      </c>
    </row>
    <row r="52" spans="2:3" ht="43.5" customHeight="1">
      <c r="B52" s="59">
        <v>1</v>
      </c>
      <c r="C52" s="60" t="s">
        <v>88</v>
      </c>
    </row>
    <row r="53" spans="2:3" ht="14.25" customHeight="1">
      <c r="B53" s="59">
        <v>0.75</v>
      </c>
      <c r="C53" s="60" t="s">
        <v>89</v>
      </c>
    </row>
    <row r="54" spans="2:3" ht="14.25" customHeight="1">
      <c r="B54" s="59">
        <v>0.5</v>
      </c>
      <c r="C54" s="60" t="s">
        <v>90</v>
      </c>
    </row>
    <row r="55" spans="2:3" ht="14.25" customHeight="1">
      <c r="B55" s="59">
        <v>0.25</v>
      </c>
      <c r="C55" s="60" t="s">
        <v>91</v>
      </c>
    </row>
    <row r="56" spans="2:3" ht="14.25" customHeight="1">
      <c r="B56" s="59">
        <v>0</v>
      </c>
      <c r="C56" s="60" t="s">
        <v>92</v>
      </c>
    </row>
    <row r="58" spans="2:3" ht="14.25" customHeight="1">
      <c r="B58" s="193" t="s">
        <v>93</v>
      </c>
      <c r="C58" s="193"/>
    </row>
    <row r="59" spans="2:3" ht="28.5" customHeight="1">
      <c r="B59" s="193" t="s">
        <v>94</v>
      </c>
      <c r="C59" s="193"/>
    </row>
    <row r="60" spans="2:3" ht="14.25" customHeight="1">
      <c r="B60" s="2" t="s">
        <v>79</v>
      </c>
      <c r="C60" s="2" t="s">
        <v>80</v>
      </c>
    </row>
    <row r="61" spans="2:3" ht="28.5" customHeight="1">
      <c r="B61" s="59">
        <v>1</v>
      </c>
      <c r="C61" s="60" t="s">
        <v>95</v>
      </c>
    </row>
    <row r="62" spans="2:3" ht="28.5" customHeight="1">
      <c r="B62" s="59">
        <v>0.75</v>
      </c>
      <c r="C62" s="60" t="s">
        <v>96</v>
      </c>
    </row>
    <row r="63" spans="2:3" ht="14.25" customHeight="1">
      <c r="B63" s="59">
        <v>0.5</v>
      </c>
      <c r="C63" s="60" t="s">
        <v>97</v>
      </c>
    </row>
    <row r="64" spans="2:3" ht="14.25" customHeight="1">
      <c r="B64" s="59">
        <v>0.25</v>
      </c>
      <c r="C64" s="60" t="s">
        <v>98</v>
      </c>
    </row>
    <row r="65" spans="2:3" ht="14.25" customHeight="1">
      <c r="B65" s="59">
        <v>0</v>
      </c>
      <c r="C65" s="60" t="s">
        <v>99</v>
      </c>
    </row>
    <row r="67" spans="2:3" ht="14.25" customHeight="1">
      <c r="B67" s="193" t="s">
        <v>100</v>
      </c>
      <c r="C67" s="193"/>
    </row>
    <row r="68" spans="2:3" ht="28.5" customHeight="1">
      <c r="B68" s="193" t="s">
        <v>101</v>
      </c>
      <c r="C68" s="193"/>
    </row>
    <row r="69" spans="2:3" ht="14.25" customHeight="1">
      <c r="B69" s="2" t="s">
        <v>79</v>
      </c>
      <c r="C69" s="2" t="s">
        <v>80</v>
      </c>
    </row>
    <row r="70" spans="2:3" ht="28.5" customHeight="1">
      <c r="B70" s="59">
        <v>1</v>
      </c>
      <c r="C70" s="60" t="s">
        <v>102</v>
      </c>
    </row>
    <row r="71" spans="2:3" ht="14.25" customHeight="1">
      <c r="B71" s="59">
        <v>0.75</v>
      </c>
      <c r="C71" s="60" t="s">
        <v>103</v>
      </c>
    </row>
    <row r="72" spans="2:3" ht="14.25" customHeight="1">
      <c r="B72" s="59">
        <v>0.5</v>
      </c>
      <c r="C72" s="60" t="s">
        <v>104</v>
      </c>
    </row>
    <row r="73" spans="2:3" ht="14.25" customHeight="1">
      <c r="B73" s="59">
        <v>0.25</v>
      </c>
      <c r="C73" s="60" t="s">
        <v>105</v>
      </c>
    </row>
    <row r="74" spans="2:3" ht="14.25" customHeight="1">
      <c r="B74" s="59">
        <v>0</v>
      </c>
      <c r="C74" s="60" t="s">
        <v>106</v>
      </c>
    </row>
    <row r="76" spans="2:3" ht="14.25" customHeight="1">
      <c r="B76" s="193" t="s">
        <v>107</v>
      </c>
      <c r="C76" s="193"/>
    </row>
    <row r="77" spans="2:3" ht="28.5" customHeight="1">
      <c r="B77" s="193" t="s">
        <v>108</v>
      </c>
      <c r="C77" s="193"/>
    </row>
    <row r="78" spans="2:3" ht="14.25" customHeight="1">
      <c r="B78" s="2" t="s">
        <v>79</v>
      </c>
      <c r="C78" s="2" t="s">
        <v>80</v>
      </c>
    </row>
    <row r="79" spans="2:3" ht="28.5" customHeight="1">
      <c r="B79" s="59">
        <v>1</v>
      </c>
      <c r="C79" s="60" t="s">
        <v>109</v>
      </c>
    </row>
    <row r="80" spans="2:3" ht="28.5" customHeight="1">
      <c r="B80" s="59">
        <v>0.75</v>
      </c>
      <c r="C80" s="60" t="s">
        <v>110</v>
      </c>
    </row>
    <row r="81" spans="2:3" ht="14.25" customHeight="1">
      <c r="B81" s="59">
        <v>0.5</v>
      </c>
      <c r="C81" s="60" t="s">
        <v>111</v>
      </c>
    </row>
    <row r="82" spans="2:3" ht="14.25" customHeight="1">
      <c r="B82" s="59">
        <v>0.25</v>
      </c>
      <c r="C82" s="60" t="s">
        <v>112</v>
      </c>
    </row>
    <row r="83" spans="2:3" ht="14.25" customHeight="1">
      <c r="B83" s="59">
        <v>0</v>
      </c>
      <c r="C83" s="60" t="s">
        <v>113</v>
      </c>
    </row>
  </sheetData>
  <mergeCells count="17">
    <mergeCell ref="B8:B9"/>
    <mergeCell ref="C8:C9"/>
    <mergeCell ref="D8:D9"/>
    <mergeCell ref="B26:C26"/>
    <mergeCell ref="E27:F27"/>
    <mergeCell ref="B34:C34"/>
    <mergeCell ref="E35:F35"/>
    <mergeCell ref="B40:C40"/>
    <mergeCell ref="B41:C41"/>
    <mergeCell ref="B49:C49"/>
    <mergeCell ref="B76:C76"/>
    <mergeCell ref="B77:C77"/>
    <mergeCell ref="B50:C50"/>
    <mergeCell ref="B58:C58"/>
    <mergeCell ref="B59:C59"/>
    <mergeCell ref="B67:C67"/>
    <mergeCell ref="B68:C6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60"/>
  <sheetViews>
    <sheetView topLeftCell="A52" zoomScale="83" zoomScaleNormal="83" workbookViewId="0">
      <selection activeCell="G62" sqref="G62"/>
    </sheetView>
  </sheetViews>
  <sheetFormatPr defaultColWidth="11.42578125" defaultRowHeight="14.45"/>
  <cols>
    <col min="2" max="2" width="50" customWidth="1"/>
    <col min="3" max="3" width="12.7109375" customWidth="1"/>
    <col min="4" max="4" width="14" customWidth="1"/>
    <col min="5" max="5" width="40" customWidth="1"/>
    <col min="6" max="7" width="35" customWidth="1"/>
    <col min="8" max="13" width="12" customWidth="1"/>
  </cols>
  <sheetData>
    <row r="1" spans="2:13" ht="15" customHeight="1"/>
    <row r="2" spans="2:13" ht="15" customHeight="1">
      <c r="B2" s="200" t="s">
        <v>114</v>
      </c>
      <c r="C2" s="1" t="s">
        <v>25</v>
      </c>
      <c r="D2" s="201" t="s">
        <v>115</v>
      </c>
      <c r="E2" s="202" t="s">
        <v>116</v>
      </c>
      <c r="F2" s="202" t="s">
        <v>117</v>
      </c>
      <c r="G2" s="203" t="s">
        <v>118</v>
      </c>
      <c r="H2" s="198" t="s">
        <v>119</v>
      </c>
      <c r="I2" s="198"/>
      <c r="J2" s="198"/>
      <c r="K2" s="198" t="s">
        <v>120</v>
      </c>
      <c r="L2" s="198"/>
      <c r="M2" s="198"/>
    </row>
    <row r="3" spans="2:13" ht="34.5" customHeight="1">
      <c r="B3" s="200"/>
      <c r="C3" s="61">
        <v>0.45</v>
      </c>
      <c r="D3" s="201"/>
      <c r="E3" s="202"/>
      <c r="F3" s="202"/>
      <c r="G3" s="202"/>
      <c r="H3" s="62" t="s">
        <v>50</v>
      </c>
      <c r="I3" s="63" t="s">
        <v>121</v>
      </c>
      <c r="J3" s="63" t="s">
        <v>122</v>
      </c>
      <c r="K3" s="62" t="s">
        <v>50</v>
      </c>
      <c r="L3" s="63" t="s">
        <v>121</v>
      </c>
      <c r="M3" s="63" t="s">
        <v>122</v>
      </c>
    </row>
    <row r="4" spans="2:13" ht="34.5" customHeight="1">
      <c r="B4" s="64" t="s">
        <v>123</v>
      </c>
      <c r="C4" s="65">
        <v>0.4</v>
      </c>
      <c r="D4" s="66">
        <f>C3*C4</f>
        <v>0.18000000000000002</v>
      </c>
      <c r="E4" s="199"/>
      <c r="F4" s="199"/>
      <c r="G4" s="199"/>
      <c r="H4" s="67"/>
      <c r="I4" s="68">
        <f>SUM(I5+I9+I14+I18)*C4</f>
        <v>0.39</v>
      </c>
      <c r="J4" s="68">
        <f>SUM(J5+J9+J14+J18)</f>
        <v>0.17550000000000002</v>
      </c>
      <c r="K4" s="67"/>
      <c r="L4" s="68">
        <f>SUM(L5+L9+L14+L18)*C4</f>
        <v>0.39</v>
      </c>
      <c r="M4" s="68">
        <f>SUM(M5+M9+M14+M18)</f>
        <v>0.17550000000000002</v>
      </c>
    </row>
    <row r="5" spans="2:13" ht="34.5" customHeight="1">
      <c r="B5" s="69" t="s">
        <v>124</v>
      </c>
      <c r="C5" s="70">
        <v>0.2</v>
      </c>
      <c r="D5" s="71">
        <f>C3*C4*C5</f>
        <v>3.6000000000000004E-2</v>
      </c>
      <c r="E5" s="69"/>
      <c r="F5" s="69"/>
      <c r="G5" s="69"/>
      <c r="H5" s="71"/>
      <c r="I5" s="72">
        <f>SUM(I6:I8)*C5</f>
        <v>0.2</v>
      </c>
      <c r="J5" s="72">
        <f>SUM(J6:J8)</f>
        <v>3.6000000000000004E-2</v>
      </c>
      <c r="K5" s="72"/>
      <c r="L5" s="72">
        <f>SUM(L6:L8)*C5</f>
        <v>0.2</v>
      </c>
      <c r="M5" s="72">
        <f>SUM(M6:M8)</f>
        <v>3.6000000000000004E-2</v>
      </c>
    </row>
    <row r="6" spans="2:13" ht="34.5" customHeight="1">
      <c r="B6" s="73" t="s">
        <v>125</v>
      </c>
      <c r="C6" s="74">
        <v>0.4</v>
      </c>
      <c r="D6" s="75">
        <f>0.45*C4*C5*C6</f>
        <v>1.4400000000000003E-2</v>
      </c>
      <c r="E6" s="76" t="s">
        <v>126</v>
      </c>
      <c r="F6" s="76" t="s">
        <v>127</v>
      </c>
      <c r="G6" s="76" t="s">
        <v>128</v>
      </c>
      <c r="H6" s="77">
        <v>1</v>
      </c>
      <c r="I6" s="75">
        <f>H6*C6</f>
        <v>0.4</v>
      </c>
      <c r="J6" s="75">
        <f>I6*D5</f>
        <v>1.4400000000000003E-2</v>
      </c>
      <c r="K6" s="77">
        <v>1</v>
      </c>
      <c r="L6" s="75">
        <f>K6*C6</f>
        <v>0.4</v>
      </c>
      <c r="M6" s="75">
        <f>L6*D5</f>
        <v>1.4400000000000003E-2</v>
      </c>
    </row>
    <row r="7" spans="2:13" ht="34.5" customHeight="1">
      <c r="B7" s="73" t="s">
        <v>129</v>
      </c>
      <c r="C7" s="74">
        <v>0.3</v>
      </c>
      <c r="D7" s="75">
        <f>0.45*C4*C5*C7</f>
        <v>1.0800000000000001E-2</v>
      </c>
      <c r="E7" s="76" t="s">
        <v>130</v>
      </c>
      <c r="F7" s="76" t="s">
        <v>131</v>
      </c>
      <c r="G7" s="76" t="s">
        <v>132</v>
      </c>
      <c r="H7" s="77">
        <v>1</v>
      </c>
      <c r="I7" s="75">
        <f>H7*C7</f>
        <v>0.3</v>
      </c>
      <c r="J7" s="75">
        <f>I7*D5</f>
        <v>1.0800000000000001E-2</v>
      </c>
      <c r="K7" s="77">
        <v>1</v>
      </c>
      <c r="L7" s="75">
        <f>K7*C7</f>
        <v>0.3</v>
      </c>
      <c r="M7" s="75">
        <f>L7*D5</f>
        <v>1.0800000000000001E-2</v>
      </c>
    </row>
    <row r="8" spans="2:13" ht="34.5" customHeight="1">
      <c r="B8" s="73" t="s">
        <v>133</v>
      </c>
      <c r="C8" s="74">
        <v>0.3</v>
      </c>
      <c r="D8" s="75">
        <f>0.45*C4*C5*C8</f>
        <v>1.0800000000000001E-2</v>
      </c>
      <c r="E8" s="197" t="s">
        <v>134</v>
      </c>
      <c r="F8" s="197"/>
      <c r="G8" s="197"/>
      <c r="H8" s="77">
        <v>1</v>
      </c>
      <c r="I8" s="75">
        <f>H8*C8</f>
        <v>0.3</v>
      </c>
      <c r="J8" s="75">
        <f>I8*D5</f>
        <v>1.0800000000000001E-2</v>
      </c>
      <c r="K8" s="77">
        <v>1</v>
      </c>
      <c r="L8" s="75">
        <f>K8*C8</f>
        <v>0.3</v>
      </c>
      <c r="M8" s="75">
        <f>L8*D5</f>
        <v>1.0800000000000001E-2</v>
      </c>
    </row>
    <row r="9" spans="2:13" ht="34.5" customHeight="1">
      <c r="B9" s="69" t="s">
        <v>135</v>
      </c>
      <c r="C9" s="70">
        <v>0.3</v>
      </c>
      <c r="D9" s="71">
        <f>C3*C4*C9</f>
        <v>5.4000000000000006E-2</v>
      </c>
      <c r="E9" s="69"/>
      <c r="F9" s="69"/>
      <c r="G9" s="69"/>
      <c r="H9" s="71"/>
      <c r="I9" s="71">
        <f>SUM(I10:I13)*C9</f>
        <v>0.3</v>
      </c>
      <c r="J9" s="71">
        <f>SUM(J10:J13)</f>
        <v>5.4000000000000006E-2</v>
      </c>
      <c r="K9" s="71"/>
      <c r="L9" s="71">
        <f>SUM(L10:L13)*C9</f>
        <v>0.3</v>
      </c>
      <c r="M9" s="71">
        <f>SUM(M10:M13)</f>
        <v>5.4000000000000006E-2</v>
      </c>
    </row>
    <row r="10" spans="2:13" ht="34.5" customHeight="1">
      <c r="B10" s="73" t="s">
        <v>136</v>
      </c>
      <c r="C10" s="74">
        <v>0.3</v>
      </c>
      <c r="D10" s="75">
        <f>0.45*C4*C9*C10</f>
        <v>1.6200000000000003E-2</v>
      </c>
      <c r="E10" s="76" t="s">
        <v>137</v>
      </c>
      <c r="F10" s="76" t="s">
        <v>138</v>
      </c>
      <c r="G10" s="76" t="s">
        <v>139</v>
      </c>
      <c r="H10" s="77">
        <v>1</v>
      </c>
      <c r="I10" s="75">
        <f>H10*C10</f>
        <v>0.3</v>
      </c>
      <c r="J10" s="75">
        <f>I10*D9</f>
        <v>1.6200000000000003E-2</v>
      </c>
      <c r="K10" s="77">
        <v>1</v>
      </c>
      <c r="L10" s="75">
        <f>K10*C10</f>
        <v>0.3</v>
      </c>
      <c r="M10" s="75">
        <f>L10*D9</f>
        <v>1.6200000000000003E-2</v>
      </c>
    </row>
    <row r="11" spans="2:13" ht="34.5" customHeight="1">
      <c r="B11" s="73" t="s">
        <v>140</v>
      </c>
      <c r="C11" s="74">
        <v>0.25</v>
      </c>
      <c r="D11" s="75">
        <f>0.45*C4*C9*C11</f>
        <v>1.3500000000000002E-2</v>
      </c>
      <c r="E11" s="197" t="s">
        <v>141</v>
      </c>
      <c r="F11" s="197"/>
      <c r="G11" s="197"/>
      <c r="H11" s="77">
        <v>1</v>
      </c>
      <c r="I11" s="75">
        <f>H11*C11</f>
        <v>0.25</v>
      </c>
      <c r="J11" s="75">
        <f>I11*D9</f>
        <v>1.3500000000000002E-2</v>
      </c>
      <c r="K11" s="77">
        <v>1</v>
      </c>
      <c r="L11" s="75">
        <f>K11*C11</f>
        <v>0.25</v>
      </c>
      <c r="M11" s="75">
        <f>L11*D9</f>
        <v>1.3500000000000002E-2</v>
      </c>
    </row>
    <row r="12" spans="2:13" ht="34.5" customHeight="1">
      <c r="B12" s="73" t="s">
        <v>142</v>
      </c>
      <c r="C12" s="74">
        <v>0.2</v>
      </c>
      <c r="D12" s="75">
        <f>0.45*C4*C9*C12</f>
        <v>1.0800000000000002E-2</v>
      </c>
      <c r="E12" s="76" t="s">
        <v>143</v>
      </c>
      <c r="F12" s="76" t="s">
        <v>144</v>
      </c>
      <c r="G12" s="76" t="s">
        <v>145</v>
      </c>
      <c r="H12" s="77">
        <v>1</v>
      </c>
      <c r="I12" s="75">
        <f>H12*C12</f>
        <v>0.2</v>
      </c>
      <c r="J12" s="75">
        <f>I12*D9</f>
        <v>1.0800000000000002E-2</v>
      </c>
      <c r="K12" s="77">
        <v>1</v>
      </c>
      <c r="L12" s="75">
        <f>K12*C12</f>
        <v>0.2</v>
      </c>
      <c r="M12" s="75">
        <f>L12*D9</f>
        <v>1.0800000000000002E-2</v>
      </c>
    </row>
    <row r="13" spans="2:13" ht="34.5" customHeight="1">
      <c r="B13" s="73" t="s">
        <v>146</v>
      </c>
      <c r="C13" s="74">
        <v>0.25</v>
      </c>
      <c r="D13" s="75">
        <f>0.45*C4*C9*C13</f>
        <v>1.3500000000000002E-2</v>
      </c>
      <c r="E13" s="76" t="s">
        <v>147</v>
      </c>
      <c r="F13" s="76" t="s">
        <v>148</v>
      </c>
      <c r="G13" s="76" t="s">
        <v>149</v>
      </c>
      <c r="H13" s="77">
        <v>1</v>
      </c>
      <c r="I13" s="75">
        <f>H13*C13</f>
        <v>0.25</v>
      </c>
      <c r="J13" s="75">
        <f>I13*D9</f>
        <v>1.3500000000000002E-2</v>
      </c>
      <c r="K13" s="77">
        <v>1</v>
      </c>
      <c r="L13" s="75">
        <f>K13*C13</f>
        <v>0.25</v>
      </c>
      <c r="M13" s="75">
        <f>L13*D9</f>
        <v>1.3500000000000002E-2</v>
      </c>
    </row>
    <row r="14" spans="2:13" ht="34.5" customHeight="1">
      <c r="B14" s="69" t="s">
        <v>150</v>
      </c>
      <c r="C14" s="70">
        <v>0.25</v>
      </c>
      <c r="D14" s="71">
        <f>C3*C4*C14</f>
        <v>4.5000000000000005E-2</v>
      </c>
      <c r="E14" s="196"/>
      <c r="F14" s="196"/>
      <c r="G14" s="196"/>
      <c r="H14" s="71"/>
      <c r="I14" s="71">
        <f>SUM(I15:I17)*C14</f>
        <v>0.25</v>
      </c>
      <c r="J14" s="71">
        <f>SUM(J15:J17)</f>
        <v>4.5000000000000005E-2</v>
      </c>
      <c r="K14" s="71"/>
      <c r="L14" s="71">
        <f>SUM(L15:L17)*C14</f>
        <v>0.25</v>
      </c>
      <c r="M14" s="71">
        <f>SUM(M15:M17)</f>
        <v>4.5000000000000005E-2</v>
      </c>
    </row>
    <row r="15" spans="2:13" ht="34.5" customHeight="1">
      <c r="B15" s="73" t="s">
        <v>151</v>
      </c>
      <c r="C15" s="74">
        <v>0.35</v>
      </c>
      <c r="D15" s="75">
        <f>0.45*C4*C14*C15</f>
        <v>1.575E-2</v>
      </c>
      <c r="E15" s="76" t="s">
        <v>152</v>
      </c>
      <c r="F15" s="76" t="s">
        <v>153</v>
      </c>
      <c r="G15" s="76" t="s">
        <v>154</v>
      </c>
      <c r="H15" s="77">
        <v>1</v>
      </c>
      <c r="I15" s="75">
        <f>H15*C15</f>
        <v>0.35</v>
      </c>
      <c r="J15" s="75">
        <f>I15*D14</f>
        <v>1.575E-2</v>
      </c>
      <c r="K15" s="77">
        <v>1</v>
      </c>
      <c r="L15" s="75">
        <f>K15*C15</f>
        <v>0.35</v>
      </c>
      <c r="M15" s="75">
        <f>L15*D14</f>
        <v>1.575E-2</v>
      </c>
    </row>
    <row r="16" spans="2:13" ht="34.5" customHeight="1">
      <c r="B16" s="73" t="s">
        <v>155</v>
      </c>
      <c r="C16" s="74">
        <v>0.4</v>
      </c>
      <c r="D16" s="75">
        <f>0.45*C4*C14*C16</f>
        <v>1.8000000000000002E-2</v>
      </c>
      <c r="E16" s="76" t="s">
        <v>156</v>
      </c>
      <c r="F16" s="76" t="s">
        <v>157</v>
      </c>
      <c r="G16" s="76" t="s">
        <v>158</v>
      </c>
      <c r="H16" s="77">
        <v>1</v>
      </c>
      <c r="I16" s="75">
        <f>H16*C16</f>
        <v>0.4</v>
      </c>
      <c r="J16" s="75">
        <f>I16*D14</f>
        <v>1.8000000000000002E-2</v>
      </c>
      <c r="K16" s="77">
        <v>1</v>
      </c>
      <c r="L16" s="75">
        <f>K16*C16</f>
        <v>0.4</v>
      </c>
      <c r="M16" s="75">
        <f>L16*D14</f>
        <v>1.8000000000000002E-2</v>
      </c>
    </row>
    <row r="17" spans="2:13" ht="34.5" customHeight="1">
      <c r="B17" s="73" t="s">
        <v>159</v>
      </c>
      <c r="C17" s="74">
        <v>0.25</v>
      </c>
      <c r="D17" s="75">
        <f>0.45*C4*C14*C17</f>
        <v>1.1250000000000001E-2</v>
      </c>
      <c r="E17" s="197" t="s">
        <v>160</v>
      </c>
      <c r="F17" s="197"/>
      <c r="G17" s="197"/>
      <c r="H17" s="77">
        <v>1</v>
      </c>
      <c r="I17" s="75">
        <f>H17*C17</f>
        <v>0.25</v>
      </c>
      <c r="J17" s="75">
        <f>I17*D14</f>
        <v>1.1250000000000001E-2</v>
      </c>
      <c r="K17" s="77">
        <v>1</v>
      </c>
      <c r="L17" s="75">
        <f>K17*C17</f>
        <v>0.25</v>
      </c>
      <c r="M17" s="75">
        <f>L17*D14</f>
        <v>1.1250000000000001E-2</v>
      </c>
    </row>
    <row r="18" spans="2:13" ht="34.5" customHeight="1">
      <c r="B18" s="69" t="s">
        <v>161</v>
      </c>
      <c r="C18" s="70">
        <v>0.25</v>
      </c>
      <c r="D18" s="71">
        <f>C3*C4*C18</f>
        <v>4.5000000000000005E-2</v>
      </c>
      <c r="E18" s="69"/>
      <c r="F18" s="69"/>
      <c r="G18" s="69"/>
      <c r="H18" s="71"/>
      <c r="I18" s="71">
        <f>SUM(I19:I20)*C18</f>
        <v>0.22500000000000001</v>
      </c>
      <c r="J18" s="71">
        <f>SUM(J19+J20)</f>
        <v>4.0500000000000008E-2</v>
      </c>
      <c r="K18" s="71"/>
      <c r="L18" s="71">
        <f>SUM(L19:L20)*C18</f>
        <v>0.22500000000000001</v>
      </c>
      <c r="M18" s="71">
        <f>SUM(M19:M20)</f>
        <v>4.0500000000000008E-2</v>
      </c>
    </row>
    <row r="19" spans="2:13" ht="34.5" customHeight="1">
      <c r="B19" s="73" t="s">
        <v>162</v>
      </c>
      <c r="C19" s="74">
        <v>0.6</v>
      </c>
      <c r="D19" s="75">
        <f>0.45*C4*C18*C19</f>
        <v>2.7000000000000003E-2</v>
      </c>
      <c r="E19" s="197" t="s">
        <v>163</v>
      </c>
      <c r="F19" s="197"/>
      <c r="G19" s="197"/>
      <c r="H19" s="77">
        <v>1</v>
      </c>
      <c r="I19" s="75">
        <f>H19*C19</f>
        <v>0.6</v>
      </c>
      <c r="J19" s="75">
        <f>I19*D18</f>
        <v>2.7000000000000003E-2</v>
      </c>
      <c r="K19" s="77">
        <v>1</v>
      </c>
      <c r="L19" s="75">
        <f>K19*C19</f>
        <v>0.6</v>
      </c>
      <c r="M19" s="75">
        <f>L19*D18</f>
        <v>2.7000000000000003E-2</v>
      </c>
    </row>
    <row r="20" spans="2:13" ht="34.5" customHeight="1">
      <c r="B20" s="73" t="s">
        <v>164</v>
      </c>
      <c r="C20" s="74">
        <v>0.4</v>
      </c>
      <c r="D20" s="75">
        <f>0.45*C4*C18*C20</f>
        <v>1.8000000000000002E-2</v>
      </c>
      <c r="E20" s="76" t="s">
        <v>165</v>
      </c>
      <c r="F20" s="76" t="s">
        <v>166</v>
      </c>
      <c r="G20" s="76" t="s">
        <v>167</v>
      </c>
      <c r="H20" s="77">
        <v>0.75</v>
      </c>
      <c r="I20" s="75">
        <f>H20*C20</f>
        <v>0.30000000000000004</v>
      </c>
      <c r="J20" s="75">
        <f>I20*D18</f>
        <v>1.3500000000000003E-2</v>
      </c>
      <c r="K20" s="77">
        <v>0.75</v>
      </c>
      <c r="L20" s="75">
        <f>K20*C20</f>
        <v>0.30000000000000004</v>
      </c>
      <c r="M20" s="75">
        <f>L20*D18</f>
        <v>1.3500000000000003E-2</v>
      </c>
    </row>
    <row r="21" spans="2:13" ht="34.5" customHeight="1">
      <c r="B21" s="78" t="s">
        <v>168</v>
      </c>
      <c r="C21" s="79">
        <v>0.2</v>
      </c>
      <c r="D21" s="66">
        <f>0.45*C21</f>
        <v>9.0000000000000011E-2</v>
      </c>
      <c r="E21" s="78"/>
      <c r="F21" s="78"/>
      <c r="G21" s="78"/>
      <c r="H21" s="66"/>
      <c r="I21" s="66">
        <f>SUM(I22+I25+I29+I32)*C21</f>
        <v>0.2</v>
      </c>
      <c r="J21" s="66">
        <f>SUM(J22+J25+J29+J32)</f>
        <v>9.0000000000000011E-2</v>
      </c>
      <c r="K21" s="66"/>
      <c r="L21" s="66">
        <f>SUM(L22+L25+L29+L32)*C21</f>
        <v>0.17700000000000002</v>
      </c>
      <c r="M21" s="66">
        <f>SUM(M22+M25+M29+M32)</f>
        <v>7.9650000000000012E-2</v>
      </c>
    </row>
    <row r="22" spans="2:13" ht="34.5" customHeight="1">
      <c r="B22" s="69" t="s">
        <v>169</v>
      </c>
      <c r="C22" s="70">
        <v>0.2</v>
      </c>
      <c r="D22" s="71">
        <f>0.45*C21*C22</f>
        <v>1.8000000000000002E-2</v>
      </c>
      <c r="E22" s="69"/>
      <c r="F22" s="69"/>
      <c r="G22" s="69"/>
      <c r="H22" s="71"/>
      <c r="I22" s="71">
        <f>SUM(I23:I24)*C22</f>
        <v>0.2</v>
      </c>
      <c r="J22" s="71">
        <f>SUM(J23+J23)</f>
        <v>1.8000000000000002E-2</v>
      </c>
      <c r="K22" s="71"/>
      <c r="L22" s="71">
        <f>SUM(L23:L24)*C22</f>
        <v>0.17500000000000002</v>
      </c>
      <c r="M22" s="71">
        <f>SUM(M23+M24)</f>
        <v>1.575E-2</v>
      </c>
    </row>
    <row r="23" spans="2:13" ht="34.5" customHeight="1">
      <c r="B23" s="73" t="s">
        <v>170</v>
      </c>
      <c r="C23" s="74">
        <v>0.5</v>
      </c>
      <c r="D23" s="75">
        <f>0.45*C21*C22*C23</f>
        <v>9.0000000000000011E-3</v>
      </c>
      <c r="E23" s="76" t="s">
        <v>171</v>
      </c>
      <c r="F23" s="76" t="s">
        <v>172</v>
      </c>
      <c r="G23" s="76" t="s">
        <v>173</v>
      </c>
      <c r="H23" s="77">
        <v>1</v>
      </c>
      <c r="I23" s="75">
        <f>H23*C23</f>
        <v>0.5</v>
      </c>
      <c r="J23" s="75">
        <f>I23*D22</f>
        <v>9.0000000000000011E-3</v>
      </c>
      <c r="K23" s="77">
        <v>1</v>
      </c>
      <c r="L23" s="75">
        <f>K23*C23</f>
        <v>0.5</v>
      </c>
      <c r="M23" s="75">
        <f>L23*D22</f>
        <v>9.0000000000000011E-3</v>
      </c>
    </row>
    <row r="24" spans="2:13" ht="34.5" customHeight="1">
      <c r="B24" s="73" t="s">
        <v>174</v>
      </c>
      <c r="C24" s="74">
        <v>0.5</v>
      </c>
      <c r="D24" s="75">
        <f>0.45*C21*C22*C24</f>
        <v>9.0000000000000011E-3</v>
      </c>
      <c r="E24" s="76" t="s">
        <v>175</v>
      </c>
      <c r="F24" s="76" t="s">
        <v>176</v>
      </c>
      <c r="G24" s="76" t="s">
        <v>177</v>
      </c>
      <c r="H24" s="77">
        <v>1</v>
      </c>
      <c r="I24" s="75">
        <f>H24*C24</f>
        <v>0.5</v>
      </c>
      <c r="J24" s="75">
        <f>I24*D22</f>
        <v>9.0000000000000011E-3</v>
      </c>
      <c r="K24" s="77">
        <v>0.75</v>
      </c>
      <c r="L24" s="75">
        <f>K24*C24</f>
        <v>0.375</v>
      </c>
      <c r="M24" s="75">
        <f>L24*D22</f>
        <v>6.7500000000000008E-3</v>
      </c>
    </row>
    <row r="25" spans="2:13" ht="34.5" customHeight="1">
      <c r="B25" s="69" t="s">
        <v>178</v>
      </c>
      <c r="C25" s="70">
        <v>0.4</v>
      </c>
      <c r="D25" s="71">
        <f>0.45*C21*C25</f>
        <v>3.6000000000000004E-2</v>
      </c>
      <c r="E25" s="69"/>
      <c r="F25" s="69"/>
      <c r="G25" s="69"/>
      <c r="H25" s="71"/>
      <c r="I25" s="71">
        <f>SUM(I26:I28)*C25</f>
        <v>0.4</v>
      </c>
      <c r="J25" s="71">
        <f>SUM(J26:J28)</f>
        <v>3.6000000000000004E-2</v>
      </c>
      <c r="K25" s="71"/>
      <c r="L25" s="71">
        <f>SUM(L26:L28)*C25</f>
        <v>0.33500000000000002</v>
      </c>
      <c r="M25" s="71">
        <f>SUM(M26:M28)</f>
        <v>3.0150000000000003E-2</v>
      </c>
    </row>
    <row r="26" spans="2:13" ht="34.5" customHeight="1">
      <c r="B26" s="73" t="s">
        <v>179</v>
      </c>
      <c r="C26" s="74">
        <v>0.4</v>
      </c>
      <c r="D26" s="75">
        <f>0.45*C21*C25*C26</f>
        <v>1.4400000000000003E-2</v>
      </c>
      <c r="E26" s="76" t="s">
        <v>180</v>
      </c>
      <c r="F26" s="76" t="s">
        <v>181</v>
      </c>
      <c r="G26" s="76" t="s">
        <v>182</v>
      </c>
      <c r="H26" s="77">
        <v>1</v>
      </c>
      <c r="I26" s="75">
        <f>H26*C26</f>
        <v>0.4</v>
      </c>
      <c r="J26" s="75">
        <f>I26*D25</f>
        <v>1.4400000000000003E-2</v>
      </c>
      <c r="K26" s="77">
        <v>0.75</v>
      </c>
      <c r="L26" s="75">
        <f>K26*C26</f>
        <v>0.30000000000000004</v>
      </c>
      <c r="M26" s="75">
        <f>L26*D25</f>
        <v>1.0800000000000002E-2</v>
      </c>
    </row>
    <row r="27" spans="2:13" ht="34.5" customHeight="1">
      <c r="B27" s="73" t="s">
        <v>183</v>
      </c>
      <c r="C27" s="74">
        <v>0.35</v>
      </c>
      <c r="D27" s="75">
        <f>0.45*C21*C25*C27</f>
        <v>1.26E-2</v>
      </c>
      <c r="E27" s="76" t="s">
        <v>184</v>
      </c>
      <c r="F27" s="76" t="s">
        <v>185</v>
      </c>
      <c r="G27" s="76" t="s">
        <v>186</v>
      </c>
      <c r="H27" s="77">
        <v>1</v>
      </c>
      <c r="I27" s="75">
        <f>H27*C27</f>
        <v>0.35</v>
      </c>
      <c r="J27" s="75">
        <f>I27*D25</f>
        <v>1.26E-2</v>
      </c>
      <c r="K27" s="77">
        <v>1</v>
      </c>
      <c r="L27" s="75">
        <f>K27*C27</f>
        <v>0.35</v>
      </c>
      <c r="M27" s="75">
        <f>L27*D25</f>
        <v>1.26E-2</v>
      </c>
    </row>
    <row r="28" spans="2:13" ht="34.5" customHeight="1">
      <c r="B28" s="73" t="s">
        <v>187</v>
      </c>
      <c r="C28" s="74">
        <v>0.25</v>
      </c>
      <c r="D28" s="75">
        <f>0.45*C21*C25*C28</f>
        <v>9.0000000000000011E-3</v>
      </c>
      <c r="E28" s="76" t="s">
        <v>188</v>
      </c>
      <c r="F28" s="76" t="s">
        <v>189</v>
      </c>
      <c r="G28" s="76" t="s">
        <v>190</v>
      </c>
      <c r="H28" s="77">
        <v>1</v>
      </c>
      <c r="I28" s="75">
        <f>H28*C28</f>
        <v>0.25</v>
      </c>
      <c r="J28" s="75">
        <f>I28*D25</f>
        <v>9.0000000000000011E-3</v>
      </c>
      <c r="K28" s="77">
        <v>0.75</v>
      </c>
      <c r="L28" s="75">
        <f>K28*C28</f>
        <v>0.1875</v>
      </c>
      <c r="M28" s="75">
        <f>L28*D25</f>
        <v>6.7500000000000008E-3</v>
      </c>
    </row>
    <row r="29" spans="2:13" ht="34.5" customHeight="1">
      <c r="B29" s="69" t="s">
        <v>191</v>
      </c>
      <c r="C29" s="70">
        <v>0.25</v>
      </c>
      <c r="D29" s="71">
        <f>0.45*C21*C29</f>
        <v>2.2500000000000003E-2</v>
      </c>
      <c r="E29" s="69"/>
      <c r="F29" s="69"/>
      <c r="G29" s="69"/>
      <c r="H29" s="71"/>
      <c r="I29" s="71">
        <f>SUM(I30:I31)*C29</f>
        <v>0.25</v>
      </c>
      <c r="J29" s="71">
        <f>SUM(J30:J31)</f>
        <v>2.2500000000000003E-2</v>
      </c>
      <c r="K29" s="71"/>
      <c r="L29" s="71">
        <f>SUM(L30:L31)*C29</f>
        <v>0.22500000000000001</v>
      </c>
      <c r="M29" s="71">
        <f>SUM(M30:M31)</f>
        <v>2.0250000000000004E-2</v>
      </c>
    </row>
    <row r="30" spans="2:13" ht="34.5" customHeight="1">
      <c r="B30" s="73" t="s">
        <v>192</v>
      </c>
      <c r="C30" s="74">
        <v>0.6</v>
      </c>
      <c r="D30" s="75">
        <f>0.45*C21*C29*C30</f>
        <v>1.3500000000000002E-2</v>
      </c>
      <c r="E30" s="76" t="s">
        <v>193</v>
      </c>
      <c r="F30" s="76" t="s">
        <v>194</v>
      </c>
      <c r="G30" s="76" t="s">
        <v>195</v>
      </c>
      <c r="H30" s="77">
        <v>1</v>
      </c>
      <c r="I30" s="75">
        <f>H30*C30</f>
        <v>0.6</v>
      </c>
      <c r="J30" s="75">
        <f>I30*D29</f>
        <v>1.3500000000000002E-2</v>
      </c>
      <c r="K30" s="77">
        <v>1</v>
      </c>
      <c r="L30" s="75">
        <f>K30*C30</f>
        <v>0.6</v>
      </c>
      <c r="M30" s="75">
        <f>L30*D29</f>
        <v>1.3500000000000002E-2</v>
      </c>
    </row>
    <row r="31" spans="2:13" ht="34.5" customHeight="1">
      <c r="B31" s="73" t="s">
        <v>196</v>
      </c>
      <c r="C31" s="74">
        <v>0.4</v>
      </c>
      <c r="D31" s="75">
        <f>0.45*C21*C29*C31</f>
        <v>9.0000000000000011E-3</v>
      </c>
      <c r="E31" s="76" t="s">
        <v>197</v>
      </c>
      <c r="F31" s="76" t="s">
        <v>198</v>
      </c>
      <c r="G31" s="76" t="s">
        <v>199</v>
      </c>
      <c r="H31" s="77">
        <v>1</v>
      </c>
      <c r="I31" s="75">
        <f>H31*C31</f>
        <v>0.4</v>
      </c>
      <c r="J31" s="75">
        <f>I31*D29</f>
        <v>9.0000000000000011E-3</v>
      </c>
      <c r="K31" s="77">
        <v>0.75</v>
      </c>
      <c r="L31" s="75">
        <f>K31*C31</f>
        <v>0.30000000000000004</v>
      </c>
      <c r="M31" s="75">
        <f>L31*D29</f>
        <v>6.7500000000000017E-3</v>
      </c>
    </row>
    <row r="32" spans="2:13" ht="34.5" customHeight="1">
      <c r="B32" s="69" t="s">
        <v>200</v>
      </c>
      <c r="C32" s="70">
        <v>0.15</v>
      </c>
      <c r="D32" s="71">
        <f>0.45*C21*C32</f>
        <v>1.3500000000000002E-2</v>
      </c>
      <c r="E32" s="69"/>
      <c r="F32" s="69"/>
      <c r="G32" s="69"/>
      <c r="H32" s="71"/>
      <c r="I32" s="71">
        <f>SUM(I33:I34)*C32</f>
        <v>0.15</v>
      </c>
      <c r="J32" s="71">
        <f>SUM(J33:J34)</f>
        <v>1.3500000000000002E-2</v>
      </c>
      <c r="K32" s="71"/>
      <c r="L32" s="71">
        <f>SUM(L33:L34)*C32</f>
        <v>0.15</v>
      </c>
      <c r="M32" s="71">
        <f>SUM(M33:M34)</f>
        <v>1.3500000000000002E-2</v>
      </c>
    </row>
    <row r="33" spans="2:13" ht="34.5" customHeight="1">
      <c r="B33" s="73" t="s">
        <v>201</v>
      </c>
      <c r="C33" s="74">
        <v>0.6</v>
      </c>
      <c r="D33" s="75">
        <f>0.45*C21*C32*C33</f>
        <v>8.1000000000000013E-3</v>
      </c>
      <c r="E33" s="76" t="s">
        <v>202</v>
      </c>
      <c r="F33" s="76" t="s">
        <v>203</v>
      </c>
      <c r="G33" s="76" t="s">
        <v>204</v>
      </c>
      <c r="H33" s="77">
        <v>1</v>
      </c>
      <c r="I33" s="75">
        <f>H33*C33</f>
        <v>0.6</v>
      </c>
      <c r="J33" s="75">
        <f>I33*D32</f>
        <v>8.1000000000000013E-3</v>
      </c>
      <c r="K33" s="77">
        <v>1</v>
      </c>
      <c r="L33" s="75">
        <f>K33*C33</f>
        <v>0.6</v>
      </c>
      <c r="M33" s="75">
        <f>L33*D32</f>
        <v>8.1000000000000013E-3</v>
      </c>
    </row>
    <row r="34" spans="2:13" ht="34.5" customHeight="1">
      <c r="B34" s="73" t="s">
        <v>205</v>
      </c>
      <c r="C34" s="74">
        <v>0.4</v>
      </c>
      <c r="D34" s="75">
        <f>0.45*C21*C32*C34</f>
        <v>5.4000000000000012E-3</v>
      </c>
      <c r="E34" s="76" t="s">
        <v>206</v>
      </c>
      <c r="F34" s="76" t="s">
        <v>207</v>
      </c>
      <c r="G34" s="76" t="s">
        <v>208</v>
      </c>
      <c r="H34" s="77">
        <v>1</v>
      </c>
      <c r="I34" s="75">
        <f>H34*C34</f>
        <v>0.4</v>
      </c>
      <c r="J34" s="75">
        <f>I34*D32</f>
        <v>5.4000000000000012E-3</v>
      </c>
      <c r="K34" s="77">
        <v>1</v>
      </c>
      <c r="L34" s="75">
        <f>K34*C34</f>
        <v>0.4</v>
      </c>
      <c r="M34" s="75">
        <f>L34*D32</f>
        <v>5.4000000000000012E-3</v>
      </c>
    </row>
    <row r="35" spans="2:13" ht="34.5" customHeight="1">
      <c r="B35" s="78" t="s">
        <v>209</v>
      </c>
      <c r="C35" s="79">
        <v>0.1</v>
      </c>
      <c r="D35" s="66">
        <f>0.45*C35</f>
        <v>4.5000000000000005E-2</v>
      </c>
      <c r="E35" s="78"/>
      <c r="F35" s="78"/>
      <c r="G35" s="78"/>
      <c r="H35" s="66"/>
      <c r="I35" s="66">
        <f>SUM(I36+I40)*C35</f>
        <v>9.2499999999999999E-2</v>
      </c>
      <c r="J35" s="66">
        <f>SUM(J36+J40)</f>
        <v>4.1625000000000002E-2</v>
      </c>
      <c r="K35" s="66"/>
      <c r="L35" s="66">
        <f>SUM(L36+L40)*C35</f>
        <v>7.5000000000000011E-2</v>
      </c>
      <c r="M35" s="66">
        <f>SUM(M36+M40)</f>
        <v>3.3750000000000002E-2</v>
      </c>
    </row>
    <row r="36" spans="2:13" ht="34.5" customHeight="1">
      <c r="B36" s="69" t="s">
        <v>210</v>
      </c>
      <c r="C36" s="70">
        <v>0.5</v>
      </c>
      <c r="D36" s="71">
        <f>0.45*C35*C36</f>
        <v>2.2500000000000003E-2</v>
      </c>
      <c r="E36" s="69"/>
      <c r="F36" s="69"/>
      <c r="G36" s="69"/>
      <c r="H36" s="71"/>
      <c r="I36" s="71">
        <f>SUM(I37:I39)*C36</f>
        <v>0.42499999999999999</v>
      </c>
      <c r="J36" s="71">
        <f>SUM(J37:J39)</f>
        <v>1.9125000000000003E-2</v>
      </c>
      <c r="K36" s="71"/>
      <c r="L36" s="71">
        <f>SUM(L37:L39)*C36</f>
        <v>0.375</v>
      </c>
      <c r="M36" s="71">
        <f>SUM(M37:M39)</f>
        <v>1.6875000000000001E-2</v>
      </c>
    </row>
    <row r="37" spans="2:13" ht="34.5" customHeight="1">
      <c r="B37" s="73" t="s">
        <v>211</v>
      </c>
      <c r="C37" s="74">
        <v>0.4</v>
      </c>
      <c r="D37" s="75">
        <f>0.45*C35*C36*C37</f>
        <v>9.0000000000000011E-3</v>
      </c>
      <c r="E37" s="76" t="s">
        <v>212</v>
      </c>
      <c r="F37" s="76" t="s">
        <v>213</v>
      </c>
      <c r="G37" s="76" t="s">
        <v>214</v>
      </c>
      <c r="H37" s="77">
        <v>1</v>
      </c>
      <c r="I37" s="75">
        <f>H37*C37</f>
        <v>0.4</v>
      </c>
      <c r="J37" s="75">
        <f>I37*D36</f>
        <v>9.0000000000000011E-3</v>
      </c>
      <c r="K37" s="77">
        <v>0.75</v>
      </c>
      <c r="L37" s="75">
        <f>K37*C37</f>
        <v>0.30000000000000004</v>
      </c>
      <c r="M37" s="75">
        <f>L37*D36</f>
        <v>6.7500000000000017E-3</v>
      </c>
    </row>
    <row r="38" spans="2:13" ht="34.5" customHeight="1">
      <c r="B38" s="73" t="s">
        <v>215</v>
      </c>
      <c r="C38" s="74">
        <v>0.3</v>
      </c>
      <c r="D38" s="75">
        <f>0.45*C35*C36*C38</f>
        <v>6.7500000000000008E-3</v>
      </c>
      <c r="E38" s="76" t="s">
        <v>216</v>
      </c>
      <c r="F38" s="76" t="s">
        <v>217</v>
      </c>
      <c r="G38" s="76" t="s">
        <v>218</v>
      </c>
      <c r="H38" s="77">
        <v>0.75</v>
      </c>
      <c r="I38" s="75">
        <f>H38*C38</f>
        <v>0.22499999999999998</v>
      </c>
      <c r="J38" s="75">
        <f>I38*D36</f>
        <v>5.0625000000000002E-3</v>
      </c>
      <c r="K38" s="77">
        <v>0.75</v>
      </c>
      <c r="L38" s="75">
        <f>K38*C38</f>
        <v>0.22499999999999998</v>
      </c>
      <c r="M38" s="75">
        <f>L38*D36</f>
        <v>5.0625000000000002E-3</v>
      </c>
    </row>
    <row r="39" spans="2:13" ht="34.5" customHeight="1">
      <c r="B39" s="73" t="s">
        <v>219</v>
      </c>
      <c r="C39" s="74">
        <v>0.3</v>
      </c>
      <c r="D39" s="75">
        <f>0.45*C35*C36*C39</f>
        <v>6.7500000000000008E-3</v>
      </c>
      <c r="E39" s="76" t="s">
        <v>220</v>
      </c>
      <c r="F39" s="76" t="s">
        <v>221</v>
      </c>
      <c r="G39" s="76" t="s">
        <v>222</v>
      </c>
      <c r="H39" s="77">
        <v>0.75</v>
      </c>
      <c r="I39" s="75">
        <f>H39*C39</f>
        <v>0.22499999999999998</v>
      </c>
      <c r="J39" s="75">
        <f>I39*D36</f>
        <v>5.0625000000000002E-3</v>
      </c>
      <c r="K39" s="77">
        <v>0.75</v>
      </c>
      <c r="L39" s="75">
        <f>K39*C39</f>
        <v>0.22499999999999998</v>
      </c>
      <c r="M39" s="75">
        <f>L39*D36</f>
        <v>5.0625000000000002E-3</v>
      </c>
    </row>
    <row r="40" spans="2:13" ht="34.5" customHeight="1">
      <c r="B40" s="69" t="s">
        <v>223</v>
      </c>
      <c r="C40" s="70">
        <v>0.5</v>
      </c>
      <c r="D40" s="71">
        <f>0.45*C35*C40</f>
        <v>2.2500000000000003E-2</v>
      </c>
      <c r="E40" s="69"/>
      <c r="F40" s="69"/>
      <c r="G40" s="69"/>
      <c r="H40" s="71"/>
      <c r="I40" s="71">
        <f>SUM(I41:I43)*C40</f>
        <v>0.49999999999999994</v>
      </c>
      <c r="J40" s="71">
        <f>SUM(J41:J43)</f>
        <v>2.2499999999999999E-2</v>
      </c>
      <c r="K40" s="71"/>
      <c r="L40" s="71">
        <f>SUM(L41:L43)*C40</f>
        <v>0.37499999999999994</v>
      </c>
      <c r="M40" s="71">
        <f>SUM(M41:M43)</f>
        <v>1.6875000000000001E-2</v>
      </c>
    </row>
    <row r="41" spans="2:13" ht="34.5" customHeight="1">
      <c r="B41" s="73" t="s">
        <v>224</v>
      </c>
      <c r="C41" s="74">
        <v>0.35</v>
      </c>
      <c r="D41" s="75">
        <f>0.45*C35*C40*C41</f>
        <v>7.8750000000000001E-3</v>
      </c>
      <c r="E41" s="76" t="s">
        <v>225</v>
      </c>
      <c r="F41" s="76" t="s">
        <v>226</v>
      </c>
      <c r="G41" s="76" t="s">
        <v>227</v>
      </c>
      <c r="H41" s="77">
        <v>1</v>
      </c>
      <c r="I41" s="75">
        <f>H41*C41</f>
        <v>0.35</v>
      </c>
      <c r="J41" s="75">
        <f>I41*D40</f>
        <v>7.8750000000000001E-3</v>
      </c>
      <c r="K41" s="77">
        <v>0.75</v>
      </c>
      <c r="L41" s="75">
        <f>K41*C41</f>
        <v>0.26249999999999996</v>
      </c>
      <c r="M41" s="75">
        <f>L41*D40</f>
        <v>5.90625E-3</v>
      </c>
    </row>
    <row r="42" spans="2:13" ht="34.5" customHeight="1">
      <c r="B42" s="73" t="s">
        <v>228</v>
      </c>
      <c r="C42" s="74">
        <v>0.3</v>
      </c>
      <c r="D42" s="75">
        <f>0.45*C35*C40*C42</f>
        <v>6.7500000000000008E-3</v>
      </c>
      <c r="E42" s="76" t="s">
        <v>229</v>
      </c>
      <c r="F42" s="76" t="s">
        <v>230</v>
      </c>
      <c r="G42" s="76" t="s">
        <v>231</v>
      </c>
      <c r="H42" s="77">
        <v>1</v>
      </c>
      <c r="I42" s="75">
        <f>H42*C42</f>
        <v>0.3</v>
      </c>
      <c r="J42" s="75">
        <f>I42*D40</f>
        <v>6.7500000000000008E-3</v>
      </c>
      <c r="K42" s="77">
        <v>0.75</v>
      </c>
      <c r="L42" s="75">
        <f>K42*C42</f>
        <v>0.22499999999999998</v>
      </c>
      <c r="M42" s="75">
        <f>L42*D40</f>
        <v>5.0625000000000002E-3</v>
      </c>
    </row>
    <row r="43" spans="2:13" ht="34.5" customHeight="1">
      <c r="B43" s="73" t="s">
        <v>232</v>
      </c>
      <c r="C43" s="74">
        <v>0.35</v>
      </c>
      <c r="D43" s="75">
        <f>0.45*C35*C40*C43</f>
        <v>7.8750000000000001E-3</v>
      </c>
      <c r="E43" s="76" t="s">
        <v>233</v>
      </c>
      <c r="F43" s="76" t="s">
        <v>234</v>
      </c>
      <c r="G43" s="76" t="s">
        <v>235</v>
      </c>
      <c r="H43" s="77">
        <v>1</v>
      </c>
      <c r="I43" s="75">
        <f>H43*C43</f>
        <v>0.35</v>
      </c>
      <c r="J43" s="75">
        <f>I43*D40</f>
        <v>7.8750000000000001E-3</v>
      </c>
      <c r="K43" s="77">
        <v>0.75</v>
      </c>
      <c r="L43" s="75">
        <f>K43*C43</f>
        <v>0.26249999999999996</v>
      </c>
      <c r="M43" s="75">
        <f>L43*D40</f>
        <v>5.90625E-3</v>
      </c>
    </row>
    <row r="44" spans="2:13" ht="34.5" customHeight="1">
      <c r="B44" s="78" t="s">
        <v>236</v>
      </c>
      <c r="C44" s="79">
        <v>0.15</v>
      </c>
      <c r="D44" s="66">
        <f>0.45*C44</f>
        <v>6.7500000000000004E-2</v>
      </c>
      <c r="E44" s="78"/>
      <c r="F44" s="78"/>
      <c r="G44" s="78"/>
      <c r="H44" s="66"/>
      <c r="I44" s="66">
        <f>SUM(I45+I49)*C44</f>
        <v>0.109125</v>
      </c>
      <c r="J44" s="66">
        <f>SUM(J45+J49)</f>
        <v>4.9106249999999997E-2</v>
      </c>
      <c r="K44" s="66"/>
      <c r="L44" s="66">
        <f>SUM(L45+L49)*C44</f>
        <v>0.142125</v>
      </c>
      <c r="M44" s="66">
        <f>SUM(M45+M49)</f>
        <v>6.3956250000000006E-2</v>
      </c>
    </row>
    <row r="45" spans="2:13" ht="34.5" customHeight="1">
      <c r="B45" s="69" t="s">
        <v>237</v>
      </c>
      <c r="C45" s="70">
        <v>0.7</v>
      </c>
      <c r="D45" s="71">
        <f>0.45*C44*C45</f>
        <v>4.725E-2</v>
      </c>
      <c r="E45" s="69"/>
      <c r="F45" s="69"/>
      <c r="G45" s="69"/>
      <c r="H45" s="71"/>
      <c r="I45" s="71">
        <f>SUM(I46:I48)*C45</f>
        <v>0.47249999999999998</v>
      </c>
      <c r="J45" s="71">
        <f>SUM(J46:J48)</f>
        <v>3.1893749999999998E-2</v>
      </c>
      <c r="K45" s="71"/>
      <c r="L45" s="71">
        <f>SUM(L46:L48)*C45</f>
        <v>0.64749999999999996</v>
      </c>
      <c r="M45" s="71">
        <f>SUM(M46:M48)</f>
        <v>4.3706250000000002E-2</v>
      </c>
    </row>
    <row r="46" spans="2:13" ht="34.5" customHeight="1">
      <c r="B46" s="73" t="s">
        <v>238</v>
      </c>
      <c r="C46" s="74">
        <v>0.45</v>
      </c>
      <c r="D46" s="75">
        <f>0.45*C44*C45*C46</f>
        <v>2.12625E-2</v>
      </c>
      <c r="E46" s="76" t="s">
        <v>239</v>
      </c>
      <c r="F46" s="76" t="s">
        <v>240</v>
      </c>
      <c r="G46" s="76" t="s">
        <v>241</v>
      </c>
      <c r="H46" s="77">
        <v>0.75</v>
      </c>
      <c r="I46" s="75">
        <f>H46*C46</f>
        <v>0.33750000000000002</v>
      </c>
      <c r="J46" s="75">
        <f>I46*D45</f>
        <v>1.5946875000000003E-2</v>
      </c>
      <c r="K46" s="77">
        <v>1</v>
      </c>
      <c r="L46" s="75">
        <f>K46*C46</f>
        <v>0.45</v>
      </c>
      <c r="M46" s="75">
        <f>L46*D45</f>
        <v>2.12625E-2</v>
      </c>
    </row>
    <row r="47" spans="2:13" ht="34.5" customHeight="1">
      <c r="B47" s="73" t="s">
        <v>242</v>
      </c>
      <c r="C47" s="74">
        <v>0.3</v>
      </c>
      <c r="D47" s="75">
        <f>0.45*C44*C45*C47</f>
        <v>1.4175E-2</v>
      </c>
      <c r="E47" s="76" t="s">
        <v>243</v>
      </c>
      <c r="F47" s="76" t="s">
        <v>244</v>
      </c>
      <c r="G47" s="76" t="s">
        <v>245</v>
      </c>
      <c r="H47" s="77">
        <v>0.5</v>
      </c>
      <c r="I47" s="75">
        <f>H47*C47</f>
        <v>0.15</v>
      </c>
      <c r="J47" s="75">
        <f>I47*D45</f>
        <v>7.0875E-3</v>
      </c>
      <c r="K47" s="77">
        <v>0.75</v>
      </c>
      <c r="L47" s="75">
        <f>K47*C47</f>
        <v>0.22499999999999998</v>
      </c>
      <c r="M47" s="75">
        <f>L47*D45</f>
        <v>1.0631249999999998E-2</v>
      </c>
    </row>
    <row r="48" spans="2:13" ht="34.5" customHeight="1">
      <c r="B48" s="73" t="s">
        <v>246</v>
      </c>
      <c r="C48" s="74">
        <v>0.25</v>
      </c>
      <c r="D48" s="75">
        <f>0.45*C44*C45*C48</f>
        <v>1.18125E-2</v>
      </c>
      <c r="E48" s="76" t="s">
        <v>247</v>
      </c>
      <c r="F48" s="76" t="s">
        <v>248</v>
      </c>
      <c r="G48" s="76" t="s">
        <v>249</v>
      </c>
      <c r="H48" s="77">
        <v>0.75</v>
      </c>
      <c r="I48" s="75">
        <f>H48*C48</f>
        <v>0.1875</v>
      </c>
      <c r="J48" s="75">
        <f>I48*D45</f>
        <v>8.8593749999999992E-3</v>
      </c>
      <c r="K48" s="77">
        <v>1</v>
      </c>
      <c r="L48" s="75">
        <f>K48*C48</f>
        <v>0.25</v>
      </c>
      <c r="M48" s="75">
        <f>L48*D45</f>
        <v>1.18125E-2</v>
      </c>
    </row>
    <row r="49" spans="2:13" ht="34.5" customHeight="1">
      <c r="B49" s="69" t="s">
        <v>250</v>
      </c>
      <c r="C49" s="70">
        <v>0.3</v>
      </c>
      <c r="D49" s="71">
        <f>0.45*C44*C49</f>
        <v>2.0250000000000001E-2</v>
      </c>
      <c r="E49" s="69"/>
      <c r="F49" s="69"/>
      <c r="G49" s="69"/>
      <c r="H49" s="71"/>
      <c r="I49" s="71">
        <f>SUM(I50:I51)*C49</f>
        <v>0.255</v>
      </c>
      <c r="J49" s="71">
        <f>SUM(J50:J51)</f>
        <v>1.7212499999999999E-2</v>
      </c>
      <c r="K49" s="71"/>
      <c r="L49" s="71">
        <f>SUM(L50:L51)*C49</f>
        <v>0.3</v>
      </c>
      <c r="M49" s="71">
        <f>SUM(M50:M51)</f>
        <v>2.0250000000000001E-2</v>
      </c>
    </row>
    <row r="50" spans="2:13" ht="34.5" customHeight="1">
      <c r="B50" s="73" t="s">
        <v>251</v>
      </c>
      <c r="C50" s="74">
        <v>0.6</v>
      </c>
      <c r="D50" s="75">
        <f>0.45*C44*C49*C50</f>
        <v>1.2149999999999999E-2</v>
      </c>
      <c r="E50" s="76" t="s">
        <v>252</v>
      </c>
      <c r="F50" s="76" t="s">
        <v>253</v>
      </c>
      <c r="G50" s="76" t="s">
        <v>254</v>
      </c>
      <c r="H50" s="77">
        <v>0.75</v>
      </c>
      <c r="I50" s="75">
        <f>H50*C50</f>
        <v>0.44999999999999996</v>
      </c>
      <c r="J50" s="75">
        <f>I50*D49</f>
        <v>9.1124999999999991E-3</v>
      </c>
      <c r="K50" s="77">
        <v>1</v>
      </c>
      <c r="L50" s="75">
        <f>K50*C50</f>
        <v>0.6</v>
      </c>
      <c r="M50" s="75">
        <f>L50*D49</f>
        <v>1.2149999999999999E-2</v>
      </c>
    </row>
    <row r="51" spans="2:13" ht="34.5" customHeight="1">
      <c r="B51" s="73" t="s">
        <v>255</v>
      </c>
      <c r="C51" s="74">
        <v>0.4</v>
      </c>
      <c r="D51" s="75">
        <f>0.45*C44*C49*C51</f>
        <v>8.1000000000000013E-3</v>
      </c>
      <c r="E51" s="76" t="s">
        <v>256</v>
      </c>
      <c r="F51" s="76" t="s">
        <v>257</v>
      </c>
      <c r="G51" s="76" t="s">
        <v>258</v>
      </c>
      <c r="H51" s="77">
        <v>1</v>
      </c>
      <c r="I51" s="75">
        <f>H51*C51</f>
        <v>0.4</v>
      </c>
      <c r="J51" s="75">
        <f>I51*D49</f>
        <v>8.1000000000000013E-3</v>
      </c>
      <c r="K51" s="77">
        <v>1</v>
      </c>
      <c r="L51" s="75">
        <f>K51*C51</f>
        <v>0.4</v>
      </c>
      <c r="M51" s="75">
        <f>L51*D49</f>
        <v>8.1000000000000013E-3</v>
      </c>
    </row>
    <row r="52" spans="2:13" ht="34.5" customHeight="1">
      <c r="B52" s="78" t="s">
        <v>259</v>
      </c>
      <c r="C52" s="79">
        <v>0.15</v>
      </c>
      <c r="D52" s="66">
        <f>0.45*C52</f>
        <v>6.7500000000000004E-2</v>
      </c>
      <c r="E52" s="78"/>
      <c r="F52" s="78"/>
      <c r="G52" s="78"/>
      <c r="H52" s="66"/>
      <c r="I52" s="66">
        <f>SUM(I53+I57)*C52</f>
        <v>0.129</v>
      </c>
      <c r="J52" s="66">
        <f>SUM(J53+J57)</f>
        <v>5.8050000000000004E-2</v>
      </c>
      <c r="K52" s="66"/>
      <c r="L52" s="66">
        <f>SUM(L53+L57)*C52</f>
        <v>0.14325000000000002</v>
      </c>
      <c r="M52" s="66">
        <f>SUM(M53+M57)</f>
        <v>6.4462500000000006E-2</v>
      </c>
    </row>
    <row r="53" spans="2:13" ht="34.5" customHeight="1">
      <c r="B53" s="69" t="s">
        <v>260</v>
      </c>
      <c r="C53" s="70">
        <v>0.6</v>
      </c>
      <c r="D53" s="71">
        <f>0.45*C52*C53</f>
        <v>4.0500000000000001E-2</v>
      </c>
      <c r="E53" s="69"/>
      <c r="F53" s="69"/>
      <c r="G53" s="69"/>
      <c r="H53" s="71"/>
      <c r="I53" s="71">
        <f>SUM(I54:I56)*C53</f>
        <v>0.51</v>
      </c>
      <c r="J53" s="71">
        <f>SUM(J54:J56)</f>
        <v>3.4425000000000004E-2</v>
      </c>
      <c r="K53" s="71"/>
      <c r="L53" s="71">
        <f>SUM(L54:L56)*C53</f>
        <v>0.55500000000000005</v>
      </c>
      <c r="M53" s="71">
        <f>SUM(M54:M56)</f>
        <v>3.7462500000000003E-2</v>
      </c>
    </row>
    <row r="54" spans="2:13" ht="34.5" customHeight="1">
      <c r="B54" s="73" t="s">
        <v>261</v>
      </c>
      <c r="C54" s="74">
        <v>0.4</v>
      </c>
      <c r="D54" s="75">
        <f>0.45*C52*C53*C54</f>
        <v>1.6200000000000003E-2</v>
      </c>
      <c r="E54" s="76" t="s">
        <v>262</v>
      </c>
      <c r="F54" s="76" t="s">
        <v>263</v>
      </c>
      <c r="G54" s="76" t="s">
        <v>264</v>
      </c>
      <c r="H54" s="77">
        <v>1</v>
      </c>
      <c r="I54" s="75">
        <f>H54*C54</f>
        <v>0.4</v>
      </c>
      <c r="J54" s="75">
        <f>I54*D53</f>
        <v>1.6200000000000003E-2</v>
      </c>
      <c r="K54" s="77">
        <v>1</v>
      </c>
      <c r="L54" s="75">
        <f>K54*C54</f>
        <v>0.4</v>
      </c>
      <c r="M54" s="75">
        <f>L54*D53</f>
        <v>1.6200000000000003E-2</v>
      </c>
    </row>
    <row r="55" spans="2:13" ht="34.5" customHeight="1">
      <c r="B55" s="73" t="s">
        <v>265</v>
      </c>
      <c r="C55" s="74">
        <v>0.3</v>
      </c>
      <c r="D55" s="75">
        <f>0.45*C52*C53*C55</f>
        <v>1.2149999999999999E-2</v>
      </c>
      <c r="E55" s="76" t="s">
        <v>266</v>
      </c>
      <c r="F55" s="76" t="s">
        <v>267</v>
      </c>
      <c r="G55" s="76" t="s">
        <v>268</v>
      </c>
      <c r="H55" s="77">
        <v>0.5</v>
      </c>
      <c r="I55" s="75">
        <f>H55*C55</f>
        <v>0.15</v>
      </c>
      <c r="J55" s="75">
        <f>I55*D53</f>
        <v>6.0749999999999997E-3</v>
      </c>
      <c r="K55" s="77">
        <v>0.75</v>
      </c>
      <c r="L55" s="75">
        <f>K55*C55</f>
        <v>0.22499999999999998</v>
      </c>
      <c r="M55" s="75">
        <f>L55*D53</f>
        <v>9.1124999999999991E-3</v>
      </c>
    </row>
    <row r="56" spans="2:13" ht="34.5" customHeight="1">
      <c r="B56" s="73" t="s">
        <v>269</v>
      </c>
      <c r="C56" s="74">
        <v>0.3</v>
      </c>
      <c r="D56" s="75">
        <f>0.45*C52*C53*C56</f>
        <v>1.2149999999999999E-2</v>
      </c>
      <c r="E56" s="76" t="s">
        <v>270</v>
      </c>
      <c r="F56" s="76" t="s">
        <v>271</v>
      </c>
      <c r="G56" s="76" t="s">
        <v>272</v>
      </c>
      <c r="H56" s="77">
        <v>1</v>
      </c>
      <c r="I56" s="75">
        <f>H56*C56</f>
        <v>0.3</v>
      </c>
      <c r="J56" s="75">
        <f>I56*D53</f>
        <v>1.2149999999999999E-2</v>
      </c>
      <c r="K56" s="77">
        <v>1</v>
      </c>
      <c r="L56" s="75">
        <f>K56*C56</f>
        <v>0.3</v>
      </c>
      <c r="M56" s="75">
        <f>L56*D53</f>
        <v>1.2149999999999999E-2</v>
      </c>
    </row>
    <row r="57" spans="2:13" ht="34.5" customHeight="1">
      <c r="B57" s="69" t="s">
        <v>273</v>
      </c>
      <c r="C57" s="70">
        <v>0.4</v>
      </c>
      <c r="D57" s="71">
        <f>0.45*C52*C57</f>
        <v>2.7000000000000003E-2</v>
      </c>
      <c r="E57" s="69"/>
      <c r="F57" s="69"/>
      <c r="G57" s="69"/>
      <c r="H57" s="71"/>
      <c r="I57" s="71">
        <f>SUM(I58:I59)*C57</f>
        <v>0.35000000000000003</v>
      </c>
      <c r="J57" s="71">
        <f>SUM(J58:J59)</f>
        <v>2.3625000000000004E-2</v>
      </c>
      <c r="K57" s="71"/>
      <c r="L57" s="71">
        <f>SUM(L58:L59)*C57</f>
        <v>0.4</v>
      </c>
      <c r="M57" s="71">
        <f>SUM(M58:M59)</f>
        <v>2.7000000000000003E-2</v>
      </c>
    </row>
    <row r="58" spans="2:13" ht="34.5" customHeight="1">
      <c r="B58" s="73" t="s">
        <v>274</v>
      </c>
      <c r="C58" s="74">
        <v>0.5</v>
      </c>
      <c r="D58" s="75">
        <f>0.45*C52*C57*C58</f>
        <v>1.3500000000000002E-2</v>
      </c>
      <c r="E58" s="76" t="s">
        <v>275</v>
      </c>
      <c r="F58" s="76" t="s">
        <v>276</v>
      </c>
      <c r="G58" s="76" t="s">
        <v>277</v>
      </c>
      <c r="H58" s="77">
        <v>0.75</v>
      </c>
      <c r="I58" s="75">
        <f>H58*C58</f>
        <v>0.375</v>
      </c>
      <c r="J58" s="75">
        <f>I58*D57</f>
        <v>1.0125000000000002E-2</v>
      </c>
      <c r="K58" s="77">
        <v>1</v>
      </c>
      <c r="L58" s="75">
        <f>K58*C58</f>
        <v>0.5</v>
      </c>
      <c r="M58" s="75">
        <f>L58*D57</f>
        <v>1.3500000000000002E-2</v>
      </c>
    </row>
    <row r="59" spans="2:13" ht="34.5" customHeight="1">
      <c r="B59" s="73" t="s">
        <v>278</v>
      </c>
      <c r="C59" s="74">
        <v>0.5</v>
      </c>
      <c r="D59" s="75">
        <f>0.45*C52*C57*C59</f>
        <v>1.3500000000000002E-2</v>
      </c>
      <c r="E59" s="76" t="s">
        <v>279</v>
      </c>
      <c r="F59" s="76" t="s">
        <v>280</v>
      </c>
      <c r="G59" s="76" t="s">
        <v>281</v>
      </c>
      <c r="H59" s="77">
        <v>1</v>
      </c>
      <c r="I59" s="75">
        <f>H59*C59</f>
        <v>0.5</v>
      </c>
      <c r="J59" s="75">
        <f>I59*D57</f>
        <v>1.3500000000000002E-2</v>
      </c>
      <c r="K59" s="77">
        <v>1</v>
      </c>
      <c r="L59" s="75">
        <f>K59*C59</f>
        <v>0.5</v>
      </c>
      <c r="M59" s="75">
        <f>L59*D57</f>
        <v>1.3500000000000002E-2</v>
      </c>
    </row>
    <row r="60" spans="2:13" ht="34.5" customHeight="1">
      <c r="B60" s="80" t="s">
        <v>282</v>
      </c>
      <c r="C60" s="81">
        <f>SUM(C4+C21+C35+C44+C52)</f>
        <v>1</v>
      </c>
      <c r="D60" s="81">
        <f>SUM(D4,D21,D35,D44,D52)</f>
        <v>0.45</v>
      </c>
      <c r="E60" s="80"/>
      <c r="F60" s="80"/>
      <c r="G60" s="80"/>
      <c r="H60" s="80"/>
      <c r="I60" s="82">
        <f>SUM(I4+I21+I35+I44+I52)</f>
        <v>0.92062500000000014</v>
      </c>
      <c r="J60" s="82">
        <f>SUM(J52+J44+J35+J21+J4)</f>
        <v>0.41428125000000005</v>
      </c>
      <c r="K60" s="80"/>
      <c r="L60" s="82">
        <f>SUM(L4+L21+L35+L44+L52)</f>
        <v>0.92737500000000017</v>
      </c>
      <c r="M60" s="82">
        <f>SUM(M52+M44+M35+M21+M4)</f>
        <v>0.41731875000000007</v>
      </c>
    </row>
  </sheetData>
  <mergeCells count="13">
    <mergeCell ref="B2:B3"/>
    <mergeCell ref="D2:D3"/>
    <mergeCell ref="E2:E3"/>
    <mergeCell ref="F2:F3"/>
    <mergeCell ref="G2:G3"/>
    <mergeCell ref="E14:G14"/>
    <mergeCell ref="E17:G17"/>
    <mergeCell ref="E19:G19"/>
    <mergeCell ref="H2:J2"/>
    <mergeCell ref="K2:M2"/>
    <mergeCell ref="E4:G4"/>
    <mergeCell ref="E8:G8"/>
    <mergeCell ref="E11:G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66"/>
  <sheetViews>
    <sheetView topLeftCell="A43" zoomScale="79" zoomScaleNormal="79" workbookViewId="0">
      <selection activeCell="D47" sqref="D47"/>
    </sheetView>
  </sheetViews>
  <sheetFormatPr defaultColWidth="11.42578125" defaultRowHeight="14.45"/>
  <cols>
    <col min="2" max="2" width="33.5703125" customWidth="1"/>
    <col min="3" max="3" width="18.5703125" customWidth="1"/>
    <col min="4" max="4" width="15.85546875" customWidth="1"/>
    <col min="5" max="5" width="34.42578125" customWidth="1"/>
    <col min="6" max="6" width="29" customWidth="1"/>
    <col min="7" max="7" width="29.42578125" customWidth="1"/>
    <col min="8" max="8" width="13.7109375" customWidth="1"/>
    <col min="9" max="9" width="19.28515625" customWidth="1"/>
    <col min="10" max="10" width="15.140625" customWidth="1"/>
    <col min="12" max="12" width="17.5703125" customWidth="1"/>
    <col min="13" max="13" width="15" customWidth="1"/>
  </cols>
  <sheetData>
    <row r="2" spans="2:13" ht="15" customHeight="1">
      <c r="B2" s="205" t="s">
        <v>283</v>
      </c>
      <c r="C2" s="83" t="s">
        <v>25</v>
      </c>
      <c r="D2" s="206" t="s">
        <v>115</v>
      </c>
      <c r="E2" s="206" t="s">
        <v>116</v>
      </c>
      <c r="F2" s="206" t="s">
        <v>117</v>
      </c>
      <c r="G2" s="207" t="s">
        <v>118</v>
      </c>
      <c r="H2" s="204" t="s">
        <v>119</v>
      </c>
      <c r="I2" s="204"/>
      <c r="J2" s="204"/>
      <c r="K2" s="204" t="s">
        <v>120</v>
      </c>
      <c r="L2" s="204"/>
      <c r="M2" s="204"/>
    </row>
    <row r="3" spans="2:13" ht="22.5" customHeight="1">
      <c r="B3" s="205"/>
      <c r="C3" s="84">
        <v>0.15</v>
      </c>
      <c r="D3" s="206"/>
      <c r="E3" s="206"/>
      <c r="F3" s="206"/>
      <c r="G3" s="206"/>
      <c r="H3" s="85" t="s">
        <v>50</v>
      </c>
      <c r="I3" s="86" t="s">
        <v>121</v>
      </c>
      <c r="J3" s="86" t="s">
        <v>122</v>
      </c>
      <c r="K3" s="85" t="s">
        <v>50</v>
      </c>
      <c r="L3" s="86" t="s">
        <v>121</v>
      </c>
      <c r="M3" s="86" t="s">
        <v>122</v>
      </c>
    </row>
    <row r="4" spans="2:13" ht="29.25" customHeight="1">
      <c r="B4" s="87" t="s">
        <v>284</v>
      </c>
      <c r="C4" s="88">
        <v>0.2</v>
      </c>
      <c r="D4" s="88">
        <f>C4*C3</f>
        <v>0.03</v>
      </c>
      <c r="E4" s="87"/>
      <c r="F4" s="87"/>
      <c r="G4" s="87"/>
      <c r="H4" s="89"/>
      <c r="I4" s="90">
        <f>SUM(I5+I10+I14)*C4</f>
        <v>0.2</v>
      </c>
      <c r="J4" s="90">
        <f>SUM(J5+J10+J14)</f>
        <v>0.03</v>
      </c>
      <c r="K4" s="91"/>
      <c r="L4" s="90">
        <f>SUM(L5+L10+L14)*C4</f>
        <v>0.2</v>
      </c>
      <c r="M4" s="90">
        <f>SUM(M5+M10+M14)</f>
        <v>0.03</v>
      </c>
    </row>
    <row r="5" spans="2:13" ht="17.25" customHeight="1">
      <c r="B5" s="92" t="s">
        <v>285</v>
      </c>
      <c r="C5" s="93">
        <v>0.5</v>
      </c>
      <c r="D5" s="93">
        <f>C5*C4*C3</f>
        <v>1.4999999999999999E-2</v>
      </c>
      <c r="E5" s="92"/>
      <c r="F5" s="92"/>
      <c r="G5" s="92"/>
      <c r="H5" s="94"/>
      <c r="I5" s="95">
        <f>SUM(I6:I9)*C5</f>
        <v>0.5</v>
      </c>
      <c r="J5" s="95">
        <f>SUM(J6:J9)</f>
        <v>1.4999999999999999E-2</v>
      </c>
      <c r="K5" s="96"/>
      <c r="L5" s="95">
        <f>SUM(L6:L9)*C5</f>
        <v>0.5</v>
      </c>
      <c r="M5" s="95">
        <f>SUM(M6:M9)</f>
        <v>1.4999999999999999E-2</v>
      </c>
    </row>
    <row r="6" spans="2:13" ht="85.5" customHeight="1">
      <c r="B6" s="97" t="s">
        <v>286</v>
      </c>
      <c r="C6" s="98">
        <v>0.4</v>
      </c>
      <c r="D6" s="98">
        <f>C3*C4*C5*C6</f>
        <v>6.0000000000000001E-3</v>
      </c>
      <c r="E6" s="99" t="s">
        <v>287</v>
      </c>
      <c r="F6" s="99" t="s">
        <v>288</v>
      </c>
      <c r="G6" s="99" t="s">
        <v>289</v>
      </c>
      <c r="H6" s="100">
        <v>1</v>
      </c>
      <c r="I6" s="101">
        <f>H6*C6</f>
        <v>0.4</v>
      </c>
      <c r="J6" s="101">
        <f>I6*D5</f>
        <v>6.0000000000000001E-3</v>
      </c>
      <c r="K6" s="100">
        <v>1</v>
      </c>
      <c r="L6" s="101">
        <f>K6*C6</f>
        <v>0.4</v>
      </c>
      <c r="M6" s="101">
        <f>L6*D5</f>
        <v>6.0000000000000001E-3</v>
      </c>
    </row>
    <row r="7" spans="2:13" ht="94.5" customHeight="1">
      <c r="B7" s="97" t="s">
        <v>290</v>
      </c>
      <c r="C7" s="98">
        <v>0.4</v>
      </c>
      <c r="D7" s="98">
        <f>C3*C4*C5*C7</f>
        <v>6.0000000000000001E-3</v>
      </c>
      <c r="E7" s="99" t="s">
        <v>291</v>
      </c>
      <c r="F7" s="99" t="s">
        <v>292</v>
      </c>
      <c r="G7" s="99" t="s">
        <v>293</v>
      </c>
      <c r="H7" s="100">
        <v>1</v>
      </c>
      <c r="I7" s="101">
        <f>H7*C7</f>
        <v>0.4</v>
      </c>
      <c r="J7" s="102">
        <f>I7*D5</f>
        <v>6.0000000000000001E-3</v>
      </c>
      <c r="K7" s="103">
        <v>1</v>
      </c>
      <c r="L7" s="102">
        <f>K7*C7</f>
        <v>0.4</v>
      </c>
      <c r="M7" s="102">
        <f>L7*D5</f>
        <v>6.0000000000000001E-3</v>
      </c>
    </row>
    <row r="8" spans="2:13" ht="90.75" customHeight="1">
      <c r="B8" s="97" t="s">
        <v>294</v>
      </c>
      <c r="C8" s="98">
        <v>0.1</v>
      </c>
      <c r="D8" s="98">
        <f>C3*C4*C5*C8</f>
        <v>1.5E-3</v>
      </c>
      <c r="E8" s="99" t="s">
        <v>295</v>
      </c>
      <c r="F8" s="99" t="s">
        <v>296</v>
      </c>
      <c r="G8" s="99" t="s">
        <v>297</v>
      </c>
      <c r="H8" s="100">
        <v>1</v>
      </c>
      <c r="I8" s="101">
        <f>H8*C8</f>
        <v>0.1</v>
      </c>
      <c r="J8" s="104">
        <f>I8*D5</f>
        <v>1.5E-3</v>
      </c>
      <c r="K8" s="104">
        <v>1</v>
      </c>
      <c r="L8" s="101">
        <f>K8*C8</f>
        <v>0.1</v>
      </c>
      <c r="M8" s="104">
        <f>L8*D5</f>
        <v>1.5E-3</v>
      </c>
    </row>
    <row r="9" spans="2:13" ht="90.75" customHeight="1">
      <c r="B9" s="97" t="s">
        <v>298</v>
      </c>
      <c r="C9" s="98">
        <v>0.1</v>
      </c>
      <c r="D9" s="98">
        <f>C3*C4*C5*C9</f>
        <v>1.5E-3</v>
      </c>
      <c r="E9" s="99" t="s">
        <v>299</v>
      </c>
      <c r="F9" s="99" t="s">
        <v>300</v>
      </c>
      <c r="G9" s="99" t="s">
        <v>301</v>
      </c>
      <c r="H9" s="100">
        <v>1</v>
      </c>
      <c r="I9" s="101">
        <f>H9*C9</f>
        <v>0.1</v>
      </c>
      <c r="J9" s="104">
        <f>I9*D5</f>
        <v>1.5E-3</v>
      </c>
      <c r="K9" s="104">
        <v>1</v>
      </c>
      <c r="L9" s="101">
        <f>K9*C9</f>
        <v>0.1</v>
      </c>
      <c r="M9" s="104">
        <f>L9*D5</f>
        <v>1.5E-3</v>
      </c>
    </row>
    <row r="10" spans="2:13" ht="19.5" customHeight="1">
      <c r="B10" s="92" t="s">
        <v>302</v>
      </c>
      <c r="C10" s="93">
        <v>0.35</v>
      </c>
      <c r="D10" s="93">
        <f>C10*C4*C3</f>
        <v>1.0499999999999999E-2</v>
      </c>
      <c r="E10" s="92"/>
      <c r="F10" s="92"/>
      <c r="G10" s="92"/>
      <c r="H10" s="94"/>
      <c r="I10" s="95">
        <f>SUM(I11:I13)*C10</f>
        <v>0.35</v>
      </c>
      <c r="J10" s="105">
        <f>SUM(J11:J13)</f>
        <v>1.0499999999999999E-2</v>
      </c>
      <c r="K10" s="106"/>
      <c r="L10" s="105">
        <f>SUM(L11:L13)*C10</f>
        <v>0.35</v>
      </c>
      <c r="M10" s="105">
        <f>SUM(M11:M13)</f>
        <v>1.0499999999999999E-2</v>
      </c>
    </row>
    <row r="11" spans="2:13" ht="96" customHeight="1">
      <c r="B11" s="97" t="s">
        <v>303</v>
      </c>
      <c r="C11" s="98">
        <v>0.6</v>
      </c>
      <c r="D11" s="98">
        <f>C3*C4*C10*C11</f>
        <v>6.2999999999999992E-3</v>
      </c>
      <c r="E11" s="99" t="s">
        <v>304</v>
      </c>
      <c r="F11" s="99" t="s">
        <v>305</v>
      </c>
      <c r="G11" s="99" t="s">
        <v>306</v>
      </c>
      <c r="H11" s="100">
        <v>1</v>
      </c>
      <c r="I11" s="101">
        <f>H11*C11</f>
        <v>0.6</v>
      </c>
      <c r="J11" s="101">
        <f>I11*D10</f>
        <v>6.2999999999999992E-3</v>
      </c>
      <c r="K11" s="100">
        <v>1</v>
      </c>
      <c r="L11" s="101">
        <f>K11*C11</f>
        <v>0.6</v>
      </c>
      <c r="M11" s="101">
        <f>L11*D10</f>
        <v>6.2999999999999992E-3</v>
      </c>
    </row>
    <row r="12" spans="2:13" ht="96" customHeight="1">
      <c r="B12" s="97" t="s">
        <v>307</v>
      </c>
      <c r="C12" s="98">
        <v>0.1</v>
      </c>
      <c r="D12" s="98">
        <f>C3*C4*C10*C12</f>
        <v>1.0499999999999999E-3</v>
      </c>
      <c r="E12" s="99" t="s">
        <v>308</v>
      </c>
      <c r="F12" s="99" t="s">
        <v>309</v>
      </c>
      <c r="G12" s="99" t="s">
        <v>310</v>
      </c>
      <c r="H12" s="100">
        <v>1</v>
      </c>
      <c r="I12" s="101">
        <f>H12*C12</f>
        <v>0.1</v>
      </c>
      <c r="J12" s="101">
        <f>I12*D10</f>
        <v>1.0499999999999999E-3</v>
      </c>
      <c r="K12" s="100">
        <v>1</v>
      </c>
      <c r="L12" s="101">
        <f>K12*C12</f>
        <v>0.1</v>
      </c>
      <c r="M12" s="101">
        <f>L12*D10</f>
        <v>1.0499999999999999E-3</v>
      </c>
    </row>
    <row r="13" spans="2:13" ht="92.25" customHeight="1">
      <c r="B13" s="97" t="s">
        <v>311</v>
      </c>
      <c r="C13" s="98">
        <v>0.3</v>
      </c>
      <c r="D13" s="98">
        <f>C3*C4*C10*C13</f>
        <v>3.1499999999999996E-3</v>
      </c>
      <c r="E13" s="99" t="s">
        <v>312</v>
      </c>
      <c r="F13" s="99" t="s">
        <v>313</v>
      </c>
      <c r="G13" s="99" t="s">
        <v>314</v>
      </c>
      <c r="H13" s="100">
        <v>1</v>
      </c>
      <c r="I13" s="101">
        <f>H13*C13</f>
        <v>0.3</v>
      </c>
      <c r="J13" s="101">
        <f>I13*D10</f>
        <v>3.1499999999999996E-3</v>
      </c>
      <c r="K13" s="100">
        <v>1</v>
      </c>
      <c r="L13" s="101">
        <f>K13*C13</f>
        <v>0.3</v>
      </c>
      <c r="M13" s="101">
        <f>L13*D10</f>
        <v>3.1499999999999996E-3</v>
      </c>
    </row>
    <row r="14" spans="2:13" ht="18" customHeight="1">
      <c r="B14" s="92" t="s">
        <v>315</v>
      </c>
      <c r="C14" s="93">
        <v>0.15</v>
      </c>
      <c r="D14" s="93">
        <f>C14*C4*C3</f>
        <v>4.4999999999999997E-3</v>
      </c>
      <c r="E14" s="92"/>
      <c r="F14" s="92"/>
      <c r="G14" s="92"/>
      <c r="H14" s="94"/>
      <c r="I14" s="95">
        <f>SUM(I15:I16)*C14</f>
        <v>0.15</v>
      </c>
      <c r="J14" s="95">
        <f>SUM(J15:J16)</f>
        <v>4.4999999999999997E-3</v>
      </c>
      <c r="K14" s="96"/>
      <c r="L14" s="95">
        <f>SUM(L15:L16)*C14</f>
        <v>0.15</v>
      </c>
      <c r="M14" s="95">
        <f>SUM(M15:M16)</f>
        <v>4.4999999999999997E-3</v>
      </c>
    </row>
    <row r="15" spans="2:13" ht="83.25" customHeight="1">
      <c r="B15" s="97" t="s">
        <v>316</v>
      </c>
      <c r="C15" s="98">
        <v>0.5</v>
      </c>
      <c r="D15" s="98">
        <f>C3*C4*C14*C15</f>
        <v>2.2499999999999998E-3</v>
      </c>
      <c r="E15" s="99" t="s">
        <v>317</v>
      </c>
      <c r="F15" s="99" t="s">
        <v>318</v>
      </c>
      <c r="G15" s="99" t="s">
        <v>319</v>
      </c>
      <c r="H15" s="100">
        <v>1</v>
      </c>
      <c r="I15" s="101">
        <f>H15*C15</f>
        <v>0.5</v>
      </c>
      <c r="J15" s="101">
        <f>I15*D14</f>
        <v>2.2499999999999998E-3</v>
      </c>
      <c r="K15" s="100">
        <v>1</v>
      </c>
      <c r="L15" s="101">
        <f>K15*C15</f>
        <v>0.5</v>
      </c>
      <c r="M15" s="101">
        <f>L15*D14</f>
        <v>2.2499999999999998E-3</v>
      </c>
    </row>
    <row r="16" spans="2:13" ht="88.5" customHeight="1">
      <c r="B16" s="97" t="s">
        <v>320</v>
      </c>
      <c r="C16" s="98">
        <v>0.5</v>
      </c>
      <c r="D16" s="98">
        <f>C3*C4*C14*C16</f>
        <v>2.2499999999999998E-3</v>
      </c>
      <c r="E16" s="99" t="s">
        <v>321</v>
      </c>
      <c r="F16" s="99" t="s">
        <v>322</v>
      </c>
      <c r="G16" s="99" t="s">
        <v>323</v>
      </c>
      <c r="H16" s="100">
        <v>1</v>
      </c>
      <c r="I16" s="101">
        <f>H16*C16</f>
        <v>0.5</v>
      </c>
      <c r="J16" s="101">
        <f>I16*D14</f>
        <v>2.2499999999999998E-3</v>
      </c>
      <c r="K16" s="100">
        <v>1</v>
      </c>
      <c r="L16" s="101">
        <f>K16*C16</f>
        <v>0.5</v>
      </c>
      <c r="M16" s="101">
        <f>L16*D14</f>
        <v>2.2499999999999998E-3</v>
      </c>
    </row>
    <row r="17" spans="2:13" ht="19.5" customHeight="1">
      <c r="B17" s="87" t="s">
        <v>324</v>
      </c>
      <c r="C17" s="88">
        <v>0.3</v>
      </c>
      <c r="D17" s="88">
        <f>C17*C3</f>
        <v>4.4999999999999998E-2</v>
      </c>
      <c r="E17" s="87"/>
      <c r="F17" s="87"/>
      <c r="G17" s="87"/>
      <c r="H17" s="107"/>
      <c r="I17" s="108">
        <f>SUM(I18+I22+I27)*C17</f>
        <v>0.28218599999999999</v>
      </c>
      <c r="J17" s="108">
        <f>SUM(J18+J22+J27)</f>
        <v>4.2327900000000002E-2</v>
      </c>
      <c r="K17" s="90"/>
      <c r="L17" s="108">
        <f>SUM(L18+L22+L27)*C17</f>
        <v>0.259373625</v>
      </c>
      <c r="M17" s="108">
        <f>SUM(M22+M27+M29)</f>
        <v>3.7406249999999995E-2</v>
      </c>
    </row>
    <row r="18" spans="2:13" ht="16.5" customHeight="1">
      <c r="B18" s="92" t="s">
        <v>325</v>
      </c>
      <c r="C18" s="93">
        <v>0.05</v>
      </c>
      <c r="D18" s="93">
        <f>C18*C17*C3</f>
        <v>2.2499999999999998E-3</v>
      </c>
      <c r="E18" s="92"/>
      <c r="F18" s="92"/>
      <c r="G18" s="92"/>
      <c r="H18" s="94"/>
      <c r="I18" s="95">
        <f>SUM(I19:I21)*C18</f>
        <v>4.9995000000000005E-2</v>
      </c>
      <c r="J18" s="95">
        <f>SUM(J19+J20+J21)</f>
        <v>2.2497749999999999E-3</v>
      </c>
      <c r="K18" s="96"/>
      <c r="L18" s="95">
        <f>SUM(L19:L21)*C18</f>
        <v>4.5828750000000001E-2</v>
      </c>
      <c r="M18" s="95">
        <f>SUM(M19:M21)</f>
        <v>2.0622937499999998E-3</v>
      </c>
    </row>
    <row r="19" spans="2:13" ht="91.5" customHeight="1">
      <c r="B19" s="109" t="s">
        <v>326</v>
      </c>
      <c r="C19" s="104">
        <v>0.33329999999999999</v>
      </c>
      <c r="D19" s="104">
        <f>C3*C17*C18*C19</f>
        <v>7.4992499999999992E-4</v>
      </c>
      <c r="E19" s="110" t="s">
        <v>327</v>
      </c>
      <c r="F19" s="110" t="s">
        <v>328</v>
      </c>
      <c r="G19" s="110" t="s">
        <v>329</v>
      </c>
      <c r="H19" s="103">
        <v>1</v>
      </c>
      <c r="I19" s="101">
        <f>H19*C19</f>
        <v>0.33329999999999999</v>
      </c>
      <c r="J19" s="101">
        <f>I19*D18</f>
        <v>7.4992499999999992E-4</v>
      </c>
      <c r="K19" s="111">
        <v>1</v>
      </c>
      <c r="L19" s="101">
        <f>K19*C19</f>
        <v>0.33329999999999999</v>
      </c>
      <c r="M19" s="101">
        <f>L19*D18</f>
        <v>7.4992499999999992E-4</v>
      </c>
    </row>
    <row r="20" spans="2:13" ht="88.5" customHeight="1">
      <c r="B20" s="97" t="s">
        <v>330</v>
      </c>
      <c r="C20" s="104">
        <v>0.33329999999999999</v>
      </c>
      <c r="D20" s="104">
        <f>C3*C17*C18*C20</f>
        <v>7.4992499999999992E-4</v>
      </c>
      <c r="E20" s="110" t="s">
        <v>331</v>
      </c>
      <c r="F20" s="110" t="s">
        <v>332</v>
      </c>
      <c r="G20" s="110" t="s">
        <v>333</v>
      </c>
      <c r="H20" s="100">
        <v>1</v>
      </c>
      <c r="I20" s="101">
        <f>H20*C20</f>
        <v>0.33329999999999999</v>
      </c>
      <c r="J20" s="101">
        <f>I20*D18</f>
        <v>7.4992499999999992E-4</v>
      </c>
      <c r="K20" s="104">
        <v>0.75</v>
      </c>
      <c r="L20" s="101">
        <f>K20*C20</f>
        <v>0.249975</v>
      </c>
      <c r="M20" s="101">
        <f>L20*D18</f>
        <v>5.6244374999999997E-4</v>
      </c>
    </row>
    <row r="21" spans="2:13" ht="94.5" customHeight="1">
      <c r="B21" s="109" t="s">
        <v>334</v>
      </c>
      <c r="C21" s="104">
        <v>0.33329999999999999</v>
      </c>
      <c r="D21" s="104">
        <f>C3*C17*C18*C21</f>
        <v>7.4992499999999992E-4</v>
      </c>
      <c r="E21" s="110" t="s">
        <v>335</v>
      </c>
      <c r="F21" s="110" t="s">
        <v>336</v>
      </c>
      <c r="G21" s="110" t="s">
        <v>337</v>
      </c>
      <c r="H21" s="100">
        <v>1</v>
      </c>
      <c r="I21" s="101">
        <f>H21*C21</f>
        <v>0.33329999999999999</v>
      </c>
      <c r="J21" s="101">
        <f>I21*D18</f>
        <v>7.4992499999999992E-4</v>
      </c>
      <c r="K21" s="104">
        <v>1</v>
      </c>
      <c r="L21" s="101">
        <f>K21*C21</f>
        <v>0.33329999999999999</v>
      </c>
      <c r="M21" s="101">
        <f>L21*D18</f>
        <v>7.4992499999999992E-4</v>
      </c>
    </row>
    <row r="22" spans="2:13" ht="20.25" customHeight="1">
      <c r="B22" s="92" t="s">
        <v>338</v>
      </c>
      <c r="C22" s="93">
        <v>0.85</v>
      </c>
      <c r="D22" s="93">
        <f>C22*C17*C3</f>
        <v>3.8249999999999999E-2</v>
      </c>
      <c r="E22" s="92"/>
      <c r="F22" s="92"/>
      <c r="G22" s="92"/>
      <c r="H22" s="94"/>
      <c r="I22" s="95">
        <f>SUM(I23:I26)*C22</f>
        <v>0.796875</v>
      </c>
      <c r="J22" s="95">
        <f>SUM(J23:J26)</f>
        <v>3.5859374999999999E-2</v>
      </c>
      <c r="K22" s="96"/>
      <c r="L22" s="95">
        <f>SUM(L23:L26)*C22</f>
        <v>0.74375000000000002</v>
      </c>
      <c r="M22" s="95">
        <f>SUM(M23:M26)</f>
        <v>3.3468749999999999E-2</v>
      </c>
    </row>
    <row r="23" spans="2:13" ht="97.5" customHeight="1">
      <c r="B23" s="112" t="s">
        <v>339</v>
      </c>
      <c r="C23" s="111">
        <v>0.25</v>
      </c>
      <c r="D23" s="111">
        <f>C3*C17*C22*C23</f>
        <v>9.5624999999999998E-3</v>
      </c>
      <c r="E23" s="113" t="s">
        <v>340</v>
      </c>
      <c r="F23" s="113" t="s">
        <v>341</v>
      </c>
      <c r="G23" s="113" t="s">
        <v>342</v>
      </c>
      <c r="H23" s="114">
        <v>1</v>
      </c>
      <c r="I23" s="101">
        <f>H23*C23</f>
        <v>0.25</v>
      </c>
      <c r="J23" s="101">
        <f>I23*D22</f>
        <v>9.5624999999999998E-3</v>
      </c>
      <c r="K23" s="115">
        <v>1</v>
      </c>
      <c r="L23" s="101">
        <f>K23*C23</f>
        <v>0.25</v>
      </c>
      <c r="M23" s="101">
        <f>L23*D22</f>
        <v>9.5624999999999998E-3</v>
      </c>
    </row>
    <row r="24" spans="2:13" ht="90" customHeight="1">
      <c r="B24" s="97" t="s">
        <v>343</v>
      </c>
      <c r="C24" s="111">
        <v>0.25</v>
      </c>
      <c r="D24" s="104">
        <f>C3*C17*C22*C24</f>
        <v>9.5624999999999998E-3</v>
      </c>
      <c r="E24" s="110" t="s">
        <v>344</v>
      </c>
      <c r="F24" s="110" t="s">
        <v>345</v>
      </c>
      <c r="G24" s="110" t="s">
        <v>346</v>
      </c>
      <c r="H24" s="116">
        <v>1</v>
      </c>
      <c r="I24" s="101">
        <f>H24*C24</f>
        <v>0.25</v>
      </c>
      <c r="J24" s="101">
        <f>I24*D22</f>
        <v>9.5624999999999998E-3</v>
      </c>
      <c r="K24" s="116">
        <v>1</v>
      </c>
      <c r="L24" s="101">
        <f>K24*C24</f>
        <v>0.25</v>
      </c>
      <c r="M24" s="101">
        <f>L24*D22</f>
        <v>9.5624999999999998E-3</v>
      </c>
    </row>
    <row r="25" spans="2:13" ht="84" customHeight="1">
      <c r="B25" s="97" t="s">
        <v>347</v>
      </c>
      <c r="C25" s="111">
        <v>0.25</v>
      </c>
      <c r="D25" s="104">
        <f>C3*C17*C22*C25</f>
        <v>9.5624999999999998E-3</v>
      </c>
      <c r="E25" s="110" t="s">
        <v>348</v>
      </c>
      <c r="F25" s="110" t="s">
        <v>349</v>
      </c>
      <c r="G25" s="110" t="s">
        <v>350</v>
      </c>
      <c r="H25" s="116">
        <v>1</v>
      </c>
      <c r="I25" s="101">
        <f>H25*C25</f>
        <v>0.25</v>
      </c>
      <c r="J25" s="117">
        <f>I25*D22</f>
        <v>9.5624999999999998E-3</v>
      </c>
      <c r="K25" s="116">
        <v>0.75</v>
      </c>
      <c r="L25" s="101">
        <f>K25*C25</f>
        <v>0.1875</v>
      </c>
      <c r="M25" s="117">
        <f>L25*D22</f>
        <v>7.1718749999999994E-3</v>
      </c>
    </row>
    <row r="26" spans="2:13" ht="84" customHeight="1">
      <c r="B26" s="109" t="s">
        <v>351</v>
      </c>
      <c r="C26" s="111">
        <v>0.25</v>
      </c>
      <c r="D26" s="104">
        <f>C3*C17*C22*C26</f>
        <v>9.5624999999999998E-3</v>
      </c>
      <c r="E26" s="110" t="s">
        <v>352</v>
      </c>
      <c r="F26" s="110" t="s">
        <v>353</v>
      </c>
      <c r="G26" s="110" t="s">
        <v>354</v>
      </c>
      <c r="H26" s="116">
        <v>0.75</v>
      </c>
      <c r="I26" s="101">
        <f>H26*C26</f>
        <v>0.1875</v>
      </c>
      <c r="J26" s="101">
        <f>I26*D22</f>
        <v>7.1718749999999994E-3</v>
      </c>
      <c r="K26" s="116">
        <v>0.75</v>
      </c>
      <c r="L26" s="101">
        <f>K26*C26</f>
        <v>0.1875</v>
      </c>
      <c r="M26" s="101">
        <f>L26*D22</f>
        <v>7.1718749999999994E-3</v>
      </c>
    </row>
    <row r="27" spans="2:13" ht="14.25" customHeight="1">
      <c r="B27" s="92" t="s">
        <v>355</v>
      </c>
      <c r="C27" s="93">
        <v>0.1</v>
      </c>
      <c r="D27" s="93">
        <f>C27*C17*C3</f>
        <v>4.4999999999999997E-3</v>
      </c>
      <c r="E27" s="92"/>
      <c r="F27" s="92"/>
      <c r="G27" s="92"/>
      <c r="H27" s="96"/>
      <c r="I27" s="95">
        <f>SUM(I28:I31)*C27</f>
        <v>9.375E-2</v>
      </c>
      <c r="J27" s="95">
        <f>SUM(J28:J31)</f>
        <v>4.2187499999999994E-3</v>
      </c>
      <c r="K27" s="96"/>
      <c r="L27" s="95">
        <f>SUM(L28:L31)*C27</f>
        <v>7.5000000000000011E-2</v>
      </c>
      <c r="M27" s="95">
        <f>SUM(M28:M31)</f>
        <v>3.3749999999999995E-3</v>
      </c>
    </row>
    <row r="28" spans="2:13" ht="84" customHeight="1">
      <c r="B28" s="109" t="s">
        <v>356</v>
      </c>
      <c r="C28" s="104">
        <v>0.25</v>
      </c>
      <c r="D28" s="104">
        <f>C3*C17*C27*C28</f>
        <v>1.1249999999999999E-3</v>
      </c>
      <c r="E28" s="110" t="s">
        <v>357</v>
      </c>
      <c r="F28" s="110" t="s">
        <v>358</v>
      </c>
      <c r="G28" s="110" t="s">
        <v>359</v>
      </c>
      <c r="H28" s="116">
        <v>1</v>
      </c>
      <c r="I28" s="101">
        <f>H28*C28</f>
        <v>0.25</v>
      </c>
      <c r="J28" s="101">
        <f>I28*D27</f>
        <v>1.1249999999999999E-3</v>
      </c>
      <c r="K28" s="116">
        <v>0.75</v>
      </c>
      <c r="L28" s="101">
        <f>K28*C28</f>
        <v>0.1875</v>
      </c>
      <c r="M28" s="101">
        <f>L28*D27</f>
        <v>8.4374999999999988E-4</v>
      </c>
    </row>
    <row r="29" spans="2:13" ht="84" customHeight="1">
      <c r="B29" s="109" t="s">
        <v>360</v>
      </c>
      <c r="C29" s="104">
        <v>0.25</v>
      </c>
      <c r="D29" s="104">
        <f>C3*C17*C27*C29</f>
        <v>1.1249999999999999E-3</v>
      </c>
      <c r="E29" s="110" t="s">
        <v>361</v>
      </c>
      <c r="F29" s="110" t="s">
        <v>362</v>
      </c>
      <c r="G29" s="110" t="s">
        <v>363</v>
      </c>
      <c r="H29" s="116">
        <v>1</v>
      </c>
      <c r="I29" s="101">
        <f>H29*C29</f>
        <v>0.25</v>
      </c>
      <c r="J29" s="101">
        <f>I29*D27</f>
        <v>1.1249999999999999E-3</v>
      </c>
      <c r="K29" s="116">
        <v>0.5</v>
      </c>
      <c r="L29" s="101">
        <f>K29*C29</f>
        <v>0.125</v>
      </c>
      <c r="M29" s="101">
        <f>L29*D27</f>
        <v>5.6249999999999996E-4</v>
      </c>
    </row>
    <row r="30" spans="2:13" ht="84" customHeight="1">
      <c r="B30" s="109" t="s">
        <v>364</v>
      </c>
      <c r="C30" s="104">
        <v>0.25</v>
      </c>
      <c r="D30" s="104">
        <f>C3*C17*C27*C30</f>
        <v>1.1249999999999999E-3</v>
      </c>
      <c r="E30" s="110" t="s">
        <v>365</v>
      </c>
      <c r="F30" s="110" t="s">
        <v>366</v>
      </c>
      <c r="G30" s="110" t="s">
        <v>367</v>
      </c>
      <c r="H30" s="116">
        <v>0.75</v>
      </c>
      <c r="I30" s="101">
        <f>H30*C30</f>
        <v>0.1875</v>
      </c>
      <c r="J30" s="101">
        <f>I30*D27</f>
        <v>8.4374999999999988E-4</v>
      </c>
      <c r="K30" s="116">
        <v>1</v>
      </c>
      <c r="L30" s="101">
        <f>K30*C30</f>
        <v>0.25</v>
      </c>
      <c r="M30" s="101">
        <f>L30*D27</f>
        <v>1.1249999999999999E-3</v>
      </c>
    </row>
    <row r="31" spans="2:13" ht="84" customHeight="1">
      <c r="B31" s="109" t="s">
        <v>368</v>
      </c>
      <c r="C31" s="104">
        <v>0.25</v>
      </c>
      <c r="D31" s="104">
        <f>C3*C17*C27*C31</f>
        <v>1.1249999999999999E-3</v>
      </c>
      <c r="E31" s="110" t="s">
        <v>369</v>
      </c>
      <c r="F31" s="110" t="s">
        <v>370</v>
      </c>
      <c r="G31" s="110" t="s">
        <v>371</v>
      </c>
      <c r="H31" s="116">
        <v>1</v>
      </c>
      <c r="I31" s="101">
        <f>H31*C31</f>
        <v>0.25</v>
      </c>
      <c r="J31" s="101">
        <f>I31*D27</f>
        <v>1.1249999999999999E-3</v>
      </c>
      <c r="K31" s="116">
        <v>0.75</v>
      </c>
      <c r="L31" s="101">
        <f>K31*C31</f>
        <v>0.1875</v>
      </c>
      <c r="M31" s="101">
        <f>L31*D27</f>
        <v>8.4374999999999988E-4</v>
      </c>
    </row>
    <row r="32" spans="2:13" ht="14.25" customHeight="1">
      <c r="B32" s="87" t="s">
        <v>372</v>
      </c>
      <c r="C32" s="88">
        <v>0.35</v>
      </c>
      <c r="D32" s="88">
        <f>C32*C3</f>
        <v>5.2499999999999998E-2</v>
      </c>
      <c r="E32" s="87"/>
      <c r="F32" s="87"/>
      <c r="G32" s="87"/>
      <c r="H32" s="90"/>
      <c r="I32" s="108">
        <f>SUM(I33+I37+I40+I45)*C32</f>
        <v>0.34999999999999992</v>
      </c>
      <c r="J32" s="108">
        <f>SUM(J33+J40+J37+J45)</f>
        <v>5.2499999999999998E-2</v>
      </c>
      <c r="K32" s="90"/>
      <c r="L32" s="108">
        <f>SUM(L33+L37+L40+L45)*C32</f>
        <v>0.31412499999999999</v>
      </c>
      <c r="M32" s="108">
        <f>SUM(M33+M40+M37+M45)</f>
        <v>4.7118749999999994E-2</v>
      </c>
    </row>
    <row r="33" spans="2:13" ht="14.25" customHeight="1">
      <c r="B33" s="92" t="s">
        <v>373</v>
      </c>
      <c r="C33" s="93">
        <v>0.4</v>
      </c>
      <c r="D33" s="93">
        <f>C33*C32*C3</f>
        <v>2.0999999999999998E-2</v>
      </c>
      <c r="E33" s="92"/>
      <c r="F33" s="92"/>
      <c r="G33" s="92"/>
      <c r="H33" s="96"/>
      <c r="I33" s="95">
        <f>SUM(I34:I36)*C33</f>
        <v>0.39999999999999997</v>
      </c>
      <c r="J33" s="95">
        <f>SUM(J34:J36)</f>
        <v>2.0999999999999998E-2</v>
      </c>
      <c r="K33" s="96"/>
      <c r="L33" s="95">
        <f>SUM(L34:L36)*C33</f>
        <v>0.36</v>
      </c>
      <c r="M33" s="95">
        <f>SUM(M34:M36)</f>
        <v>1.8899999999999997E-2</v>
      </c>
    </row>
    <row r="34" spans="2:13" ht="69.75" customHeight="1">
      <c r="B34" s="109" t="s">
        <v>374</v>
      </c>
      <c r="C34" s="104">
        <v>0.6</v>
      </c>
      <c r="D34" s="104">
        <f>C3*C32*C33*C34</f>
        <v>1.26E-2</v>
      </c>
      <c r="E34" s="110" t="s">
        <v>375</v>
      </c>
      <c r="F34" s="110" t="s">
        <v>376</v>
      </c>
      <c r="G34" s="110" t="s">
        <v>377</v>
      </c>
      <c r="H34" s="116">
        <v>1</v>
      </c>
      <c r="I34" s="101">
        <f>H34*C34</f>
        <v>0.6</v>
      </c>
      <c r="J34" s="101">
        <f>I34*D33</f>
        <v>1.2599999999999998E-2</v>
      </c>
      <c r="K34" s="116">
        <v>1</v>
      </c>
      <c r="L34" s="101">
        <f>K34*C34</f>
        <v>0.6</v>
      </c>
      <c r="M34" s="101">
        <f>L34*D33</f>
        <v>1.2599999999999998E-2</v>
      </c>
    </row>
    <row r="35" spans="2:13" ht="69.75" customHeight="1">
      <c r="B35" s="109" t="s">
        <v>378</v>
      </c>
      <c r="C35" s="104">
        <v>0.3</v>
      </c>
      <c r="D35" s="104">
        <f>C3*C32*C33*C35</f>
        <v>6.3E-3</v>
      </c>
      <c r="E35" s="110" t="s">
        <v>379</v>
      </c>
      <c r="F35" s="110" t="s">
        <v>380</v>
      </c>
      <c r="G35" s="110" t="s">
        <v>381</v>
      </c>
      <c r="H35" s="116">
        <v>1</v>
      </c>
      <c r="I35" s="101">
        <f>H35*C35</f>
        <v>0.3</v>
      </c>
      <c r="J35" s="104">
        <f>I35*D33</f>
        <v>6.2999999999999992E-3</v>
      </c>
      <c r="K35" s="116">
        <v>0.75</v>
      </c>
      <c r="L35" s="101">
        <f>K35*C35</f>
        <v>0.22499999999999998</v>
      </c>
      <c r="M35" s="101">
        <f>L35*D33</f>
        <v>4.7249999999999992E-3</v>
      </c>
    </row>
    <row r="36" spans="2:13" ht="84" customHeight="1">
      <c r="B36" s="109" t="s">
        <v>382</v>
      </c>
      <c r="C36" s="104">
        <v>0.1</v>
      </c>
      <c r="D36" s="104">
        <f>C3*C32*C33*C36</f>
        <v>2.1000000000000003E-3</v>
      </c>
      <c r="E36" s="110" t="s">
        <v>383</v>
      </c>
      <c r="F36" s="110" t="s">
        <v>384</v>
      </c>
      <c r="G36" s="110" t="s">
        <v>385</v>
      </c>
      <c r="H36" s="116">
        <v>1</v>
      </c>
      <c r="I36" s="101">
        <f>H36*C36</f>
        <v>0.1</v>
      </c>
      <c r="J36" s="104">
        <f>I36*D33</f>
        <v>2.0999999999999999E-3</v>
      </c>
      <c r="K36" s="116">
        <v>0.75</v>
      </c>
      <c r="L36" s="101">
        <f>K36*C36</f>
        <v>7.5000000000000011E-2</v>
      </c>
      <c r="M36" s="101">
        <f>L36*D33</f>
        <v>1.575E-3</v>
      </c>
    </row>
    <row r="37" spans="2:13" ht="14.25" customHeight="1">
      <c r="B37" s="92" t="s">
        <v>386</v>
      </c>
      <c r="C37" s="93">
        <v>0.3</v>
      </c>
      <c r="D37" s="93">
        <f>C37*C32*C3</f>
        <v>1.575E-2</v>
      </c>
      <c r="E37" s="92"/>
      <c r="F37" s="92"/>
      <c r="G37" s="92"/>
      <c r="H37" s="96"/>
      <c r="I37" s="96">
        <f>SUM(I38:I39)*C37</f>
        <v>0.3</v>
      </c>
      <c r="J37" s="96">
        <f>SUM(J38:J39)</f>
        <v>1.575E-2</v>
      </c>
      <c r="K37" s="96"/>
      <c r="L37" s="96">
        <f>SUM(L38:L39)*C37</f>
        <v>0.26250000000000001</v>
      </c>
      <c r="M37" s="96">
        <f>SUM(M38:M39)</f>
        <v>1.378125E-2</v>
      </c>
    </row>
    <row r="38" spans="2:13" ht="97.5" customHeight="1">
      <c r="B38" s="109" t="s">
        <v>387</v>
      </c>
      <c r="C38" s="104">
        <v>0.5</v>
      </c>
      <c r="D38" s="104">
        <f>C3*C32*C37*C38</f>
        <v>7.8750000000000001E-3</v>
      </c>
      <c r="E38" s="110" t="s">
        <v>388</v>
      </c>
      <c r="F38" s="110" t="s">
        <v>389</v>
      </c>
      <c r="G38" s="110" t="s">
        <v>390</v>
      </c>
      <c r="H38" s="116">
        <v>1</v>
      </c>
      <c r="I38" s="101">
        <f>H38*C38</f>
        <v>0.5</v>
      </c>
      <c r="J38" s="101">
        <f>I38*D37</f>
        <v>7.8750000000000001E-3</v>
      </c>
      <c r="K38" s="116">
        <v>1</v>
      </c>
      <c r="L38" s="101">
        <f>K38*C38</f>
        <v>0.5</v>
      </c>
      <c r="M38" s="101">
        <f>L38*D37</f>
        <v>7.8750000000000001E-3</v>
      </c>
    </row>
    <row r="39" spans="2:13" ht="84" customHeight="1">
      <c r="B39" s="109" t="s">
        <v>391</v>
      </c>
      <c r="C39" s="104">
        <v>0.5</v>
      </c>
      <c r="D39" s="104">
        <f>C3*C32*C37*C39</f>
        <v>7.8750000000000001E-3</v>
      </c>
      <c r="E39" s="110" t="s">
        <v>392</v>
      </c>
      <c r="F39" s="110" t="s">
        <v>393</v>
      </c>
      <c r="G39" s="110" t="s">
        <v>394</v>
      </c>
      <c r="H39" s="116">
        <v>1</v>
      </c>
      <c r="I39" s="101">
        <f>H39*C39</f>
        <v>0.5</v>
      </c>
      <c r="J39" s="101">
        <f>I39*D37</f>
        <v>7.8750000000000001E-3</v>
      </c>
      <c r="K39" s="116">
        <v>0.75</v>
      </c>
      <c r="L39" s="101">
        <f>K39*C39</f>
        <v>0.375</v>
      </c>
      <c r="M39" s="101">
        <f>L39*D37</f>
        <v>5.90625E-3</v>
      </c>
    </row>
    <row r="40" spans="2:13" ht="14.25" customHeight="1">
      <c r="B40" s="92" t="s">
        <v>395</v>
      </c>
      <c r="C40" s="93">
        <v>0.2</v>
      </c>
      <c r="D40" s="93">
        <f>C40*C32*C3</f>
        <v>1.0499999999999999E-2</v>
      </c>
      <c r="E40" s="92"/>
      <c r="F40" s="92"/>
      <c r="G40" s="92"/>
      <c r="H40" s="96"/>
      <c r="I40" s="95">
        <f>SUM(I41:I44)*C40</f>
        <v>0.2</v>
      </c>
      <c r="J40" s="95">
        <f>SUM(J41:J44)</f>
        <v>1.0499999999999999E-2</v>
      </c>
      <c r="K40" s="96"/>
      <c r="L40" s="95">
        <f>SUM(L41:L44)*C40</f>
        <v>0.17500000000000002</v>
      </c>
      <c r="M40" s="95">
        <f>SUM(M41:M44)</f>
        <v>9.1874999999999995E-3</v>
      </c>
    </row>
    <row r="41" spans="2:13" ht="84" customHeight="1">
      <c r="B41" s="109" t="s">
        <v>396</v>
      </c>
      <c r="C41" s="104">
        <v>0.25</v>
      </c>
      <c r="D41" s="104">
        <f>C3*C32*C40*C41</f>
        <v>2.6250000000000002E-3</v>
      </c>
      <c r="E41" s="110" t="s">
        <v>397</v>
      </c>
      <c r="F41" s="110" t="s">
        <v>398</v>
      </c>
      <c r="G41" s="110" t="s">
        <v>399</v>
      </c>
      <c r="H41" s="116">
        <v>1</v>
      </c>
      <c r="I41" s="101">
        <f>H41*C41</f>
        <v>0.25</v>
      </c>
      <c r="J41" s="101">
        <f>I41*D40</f>
        <v>2.6249999999999997E-3</v>
      </c>
      <c r="K41" s="116">
        <v>1</v>
      </c>
      <c r="L41" s="101">
        <f>K41*C41</f>
        <v>0.25</v>
      </c>
      <c r="M41" s="101">
        <f>L41*D40</f>
        <v>2.6249999999999997E-3</v>
      </c>
    </row>
    <row r="42" spans="2:13" ht="84" customHeight="1">
      <c r="B42" s="109" t="s">
        <v>400</v>
      </c>
      <c r="C42" s="104">
        <v>0.25</v>
      </c>
      <c r="D42" s="104">
        <f>C3*C32*C40*C42</f>
        <v>2.6250000000000002E-3</v>
      </c>
      <c r="E42" s="110" t="s">
        <v>401</v>
      </c>
      <c r="F42" s="110" t="s">
        <v>402</v>
      </c>
      <c r="G42" s="110" t="s">
        <v>403</v>
      </c>
      <c r="H42" s="116">
        <v>1</v>
      </c>
      <c r="I42" s="101">
        <f>H42*C42</f>
        <v>0.25</v>
      </c>
      <c r="J42" s="101">
        <f>I42*D40</f>
        <v>2.6249999999999997E-3</v>
      </c>
      <c r="K42" s="116">
        <v>1</v>
      </c>
      <c r="L42" s="101">
        <f>K42*C42</f>
        <v>0.25</v>
      </c>
      <c r="M42" s="101">
        <f>L42*D40</f>
        <v>2.6249999999999997E-3</v>
      </c>
    </row>
    <row r="43" spans="2:13" ht="84" customHeight="1">
      <c r="B43" s="109" t="s">
        <v>404</v>
      </c>
      <c r="C43" s="104">
        <v>0.25</v>
      </c>
      <c r="D43" s="104">
        <f>C3*C32*C40*C43</f>
        <v>2.6250000000000002E-3</v>
      </c>
      <c r="E43" s="110" t="s">
        <v>405</v>
      </c>
      <c r="F43" s="110" t="s">
        <v>406</v>
      </c>
      <c r="G43" s="110" t="s">
        <v>407</v>
      </c>
      <c r="H43" s="116">
        <v>1</v>
      </c>
      <c r="I43" s="101">
        <f>H43*C43</f>
        <v>0.25</v>
      </c>
      <c r="J43" s="101">
        <f>I43*D40</f>
        <v>2.6249999999999997E-3</v>
      </c>
      <c r="K43" s="116">
        <v>0.75</v>
      </c>
      <c r="L43" s="101">
        <f>K43*C43</f>
        <v>0.1875</v>
      </c>
      <c r="M43" s="101">
        <f>L43*D40</f>
        <v>1.96875E-3</v>
      </c>
    </row>
    <row r="44" spans="2:13" ht="84" customHeight="1">
      <c r="B44" s="110" t="s">
        <v>408</v>
      </c>
      <c r="C44" s="104">
        <v>0.25</v>
      </c>
      <c r="D44" s="104">
        <f>C3*C32*C40*C44</f>
        <v>2.6250000000000002E-3</v>
      </c>
      <c r="E44" s="110" t="s">
        <v>409</v>
      </c>
      <c r="F44" s="110" t="s">
        <v>410</v>
      </c>
      <c r="G44" s="110" t="s">
        <v>411</v>
      </c>
      <c r="H44" s="116">
        <v>1</v>
      </c>
      <c r="I44" s="101">
        <f>H44*C44</f>
        <v>0.25</v>
      </c>
      <c r="J44" s="101">
        <f>I44*D40</f>
        <v>2.6249999999999997E-3</v>
      </c>
      <c r="K44" s="116">
        <v>0.75</v>
      </c>
      <c r="L44" s="101">
        <f>K44*C44</f>
        <v>0.1875</v>
      </c>
      <c r="M44" s="101">
        <f>L44*D40</f>
        <v>1.96875E-3</v>
      </c>
    </row>
    <row r="45" spans="2:13" ht="14.25" customHeight="1">
      <c r="B45" s="92" t="s">
        <v>412</v>
      </c>
      <c r="C45" s="93">
        <v>0.1</v>
      </c>
      <c r="D45" s="93">
        <f>C45*C32*C3</f>
        <v>5.2499999999999995E-3</v>
      </c>
      <c r="E45" s="92"/>
      <c r="F45" s="92"/>
      <c r="G45" s="92"/>
      <c r="H45" s="96"/>
      <c r="I45" s="95">
        <f>SUM(I46:I46)*C45</f>
        <v>0.1</v>
      </c>
      <c r="J45" s="95">
        <f>SUM(J46:J46)</f>
        <v>5.2499999999999995E-3</v>
      </c>
      <c r="K45" s="96"/>
      <c r="L45" s="95">
        <f>SUM(L46:L46)*C45</f>
        <v>0.1</v>
      </c>
      <c r="M45" s="95">
        <f>SUM(M46:M46)</f>
        <v>5.2499999999999995E-3</v>
      </c>
    </row>
    <row r="46" spans="2:13" ht="84" customHeight="1">
      <c r="B46" s="109" t="s">
        <v>413</v>
      </c>
      <c r="C46" s="104">
        <v>1</v>
      </c>
      <c r="D46" s="104">
        <f>C3*C32*C45*C46</f>
        <v>5.2500000000000003E-3</v>
      </c>
      <c r="E46" s="110" t="s">
        <v>414</v>
      </c>
      <c r="F46" s="110" t="s">
        <v>415</v>
      </c>
      <c r="G46" s="110" t="s">
        <v>416</v>
      </c>
      <c r="H46" s="116">
        <v>1</v>
      </c>
      <c r="I46" s="101">
        <f>H46*C46</f>
        <v>1</v>
      </c>
      <c r="J46" s="101">
        <f>I46*D45</f>
        <v>5.2499999999999995E-3</v>
      </c>
      <c r="K46" s="116">
        <v>1</v>
      </c>
      <c r="L46" s="101">
        <f>K46*C46</f>
        <v>1</v>
      </c>
      <c r="M46" s="101">
        <f>L46*D45</f>
        <v>5.2499999999999995E-3</v>
      </c>
    </row>
    <row r="47" spans="2:13" ht="14.25" customHeight="1">
      <c r="B47" s="87" t="s">
        <v>417</v>
      </c>
      <c r="C47" s="88">
        <v>0.15</v>
      </c>
      <c r="D47" s="88">
        <f>C47*C3</f>
        <v>2.2499999999999999E-2</v>
      </c>
      <c r="E47" s="87"/>
      <c r="F47" s="87"/>
      <c r="G47" s="87"/>
      <c r="H47" s="90"/>
      <c r="I47" s="108">
        <f>SUM(I48+I52+I56)*C47</f>
        <v>0.14165208337499996</v>
      </c>
      <c r="J47" s="108">
        <f>SUM(J52+J48+J56)</f>
        <v>2.1247812506249998E-2</v>
      </c>
      <c r="K47" s="90"/>
      <c r="L47" s="108">
        <f>SUM(L48+L52+L56)*C47</f>
        <v>0.13331916675</v>
      </c>
      <c r="M47" s="108">
        <f>SUM(M52+M48+M56)</f>
        <v>1.9997875012499996E-2</v>
      </c>
    </row>
    <row r="48" spans="2:13" ht="14.25" customHeight="1">
      <c r="B48" s="92" t="s">
        <v>418</v>
      </c>
      <c r="C48" s="93">
        <v>0.33329999999999999</v>
      </c>
      <c r="D48" s="93">
        <f>C3*C47*C48</f>
        <v>7.499249999999999E-3</v>
      </c>
      <c r="E48" s="92"/>
      <c r="F48" s="92"/>
      <c r="G48" s="92"/>
      <c r="H48" s="96"/>
      <c r="I48" s="95">
        <f>SUM(I49:I51)*C48</f>
        <v>0.30549444749999993</v>
      </c>
      <c r="J48" s="95">
        <f>SUM(J49:J51)</f>
        <v>6.8736250687499991E-3</v>
      </c>
      <c r="K48" s="96"/>
      <c r="L48" s="95">
        <f>SUM(L49:L51)*C48</f>
        <v>0.33326666999999999</v>
      </c>
      <c r="M48" s="95">
        <f>SUM(M49:M51)</f>
        <v>7.4985000749999984E-3</v>
      </c>
    </row>
    <row r="49" spans="2:13" ht="84" customHeight="1">
      <c r="B49" s="109" t="s">
        <v>419</v>
      </c>
      <c r="C49" s="104">
        <v>0.33329999999999999</v>
      </c>
      <c r="D49" s="104">
        <f>C3*C47*C48*C49</f>
        <v>2.4995000249999995E-3</v>
      </c>
      <c r="E49" s="110" t="s">
        <v>420</v>
      </c>
      <c r="F49" s="110" t="s">
        <v>421</v>
      </c>
      <c r="G49" s="110" t="s">
        <v>422</v>
      </c>
      <c r="H49" s="116">
        <v>0.75</v>
      </c>
      <c r="I49" s="101">
        <f>H49*C49</f>
        <v>0.249975</v>
      </c>
      <c r="J49" s="101">
        <f>I49*D48</f>
        <v>1.8746250187499998E-3</v>
      </c>
      <c r="K49" s="116">
        <v>1</v>
      </c>
      <c r="L49" s="101">
        <f>K49*C49</f>
        <v>0.33329999999999999</v>
      </c>
      <c r="M49" s="101">
        <f>L49*D48</f>
        <v>2.4995000249999995E-3</v>
      </c>
    </row>
    <row r="50" spans="2:13" ht="84" customHeight="1">
      <c r="B50" s="109" t="s">
        <v>423</v>
      </c>
      <c r="C50" s="104">
        <v>0.33329999999999999</v>
      </c>
      <c r="D50" s="104">
        <f>C3*C47*C48*C50</f>
        <v>2.4995000249999995E-3</v>
      </c>
      <c r="E50" s="110" t="s">
        <v>424</v>
      </c>
      <c r="F50" s="110" t="s">
        <v>425</v>
      </c>
      <c r="G50" s="110" t="s">
        <v>426</v>
      </c>
      <c r="H50" s="116">
        <v>1</v>
      </c>
      <c r="I50" s="101">
        <f>H50*C50</f>
        <v>0.33329999999999999</v>
      </c>
      <c r="J50" s="104">
        <f>I50*D48</f>
        <v>2.4995000249999995E-3</v>
      </c>
      <c r="K50" s="116">
        <v>1</v>
      </c>
      <c r="L50" s="101">
        <f>K50*C50</f>
        <v>0.33329999999999999</v>
      </c>
      <c r="M50" s="104">
        <f>L50*D48</f>
        <v>2.4995000249999995E-3</v>
      </c>
    </row>
    <row r="51" spans="2:13" ht="84" customHeight="1">
      <c r="B51" s="109" t="s">
        <v>427</v>
      </c>
      <c r="C51" s="104">
        <v>0.33329999999999999</v>
      </c>
      <c r="D51" s="104">
        <f>C3*C47*C48*C51</f>
        <v>2.4995000249999995E-3</v>
      </c>
      <c r="E51" s="110" t="s">
        <v>428</v>
      </c>
      <c r="F51" s="110" t="s">
        <v>429</v>
      </c>
      <c r="G51" s="110" t="s">
        <v>430</v>
      </c>
      <c r="H51" s="116">
        <v>1</v>
      </c>
      <c r="I51" s="101">
        <f>H51*C51</f>
        <v>0.33329999999999999</v>
      </c>
      <c r="J51" s="104">
        <f>I51*D48</f>
        <v>2.4995000249999995E-3</v>
      </c>
      <c r="K51" s="116">
        <v>1</v>
      </c>
      <c r="L51" s="101">
        <f>K51*C51</f>
        <v>0.33329999999999999</v>
      </c>
      <c r="M51" s="104">
        <f>L51*D48</f>
        <v>2.4995000249999995E-3</v>
      </c>
    </row>
    <row r="52" spans="2:13" ht="14.25" customHeight="1">
      <c r="B52" s="92" t="s">
        <v>431</v>
      </c>
      <c r="C52" s="93">
        <v>0.33329999999999999</v>
      </c>
      <c r="D52" s="93">
        <f>C3*C47*C52</f>
        <v>7.499249999999999E-3</v>
      </c>
      <c r="E52" s="92"/>
      <c r="F52" s="92"/>
      <c r="G52" s="92"/>
      <c r="H52" s="96"/>
      <c r="I52" s="95">
        <f>SUM(I53:I55)*C52</f>
        <v>0.33326666999999999</v>
      </c>
      <c r="J52" s="95">
        <f>SUM(J53:J55)</f>
        <v>7.4985000749999984E-3</v>
      </c>
      <c r="K52" s="96"/>
      <c r="L52" s="95">
        <f>SUM(L53:L55)*C52</f>
        <v>0.27772222499999999</v>
      </c>
      <c r="M52" s="95">
        <f>SUM(M53:M55)</f>
        <v>6.2487500624999991E-3</v>
      </c>
    </row>
    <row r="53" spans="2:13" ht="84" customHeight="1">
      <c r="B53" s="109" t="s">
        <v>432</v>
      </c>
      <c r="C53" s="104">
        <v>0.33329999999999999</v>
      </c>
      <c r="D53" s="104">
        <f>C3*C47*C52*C53</f>
        <v>2.4995000249999995E-3</v>
      </c>
      <c r="E53" s="110" t="s">
        <v>433</v>
      </c>
      <c r="F53" s="110" t="s">
        <v>434</v>
      </c>
      <c r="G53" s="110" t="s">
        <v>435</v>
      </c>
      <c r="H53" s="116">
        <v>1</v>
      </c>
      <c r="I53" s="101">
        <f>H53*C53</f>
        <v>0.33329999999999999</v>
      </c>
      <c r="J53" s="101">
        <f>I53*D52</f>
        <v>2.4995000249999995E-3</v>
      </c>
      <c r="K53" s="116">
        <v>1</v>
      </c>
      <c r="L53" s="101">
        <f>K53*C53</f>
        <v>0.33329999999999999</v>
      </c>
      <c r="M53" s="101">
        <f>L53*D52</f>
        <v>2.4995000249999995E-3</v>
      </c>
    </row>
    <row r="54" spans="2:13" ht="84" customHeight="1">
      <c r="B54" s="109" t="s">
        <v>436</v>
      </c>
      <c r="C54" s="104">
        <v>0.33329999999999999</v>
      </c>
      <c r="D54" s="104">
        <f>C3*C47*C52*C54</f>
        <v>2.4995000249999995E-3</v>
      </c>
      <c r="E54" s="110" t="s">
        <v>437</v>
      </c>
      <c r="F54" s="110" t="s">
        <v>438</v>
      </c>
      <c r="G54" s="110" t="s">
        <v>439</v>
      </c>
      <c r="H54" s="116">
        <v>1</v>
      </c>
      <c r="I54" s="101">
        <f>H54*C54</f>
        <v>0.33329999999999999</v>
      </c>
      <c r="J54" s="101">
        <f>I54*D52</f>
        <v>2.4995000249999995E-3</v>
      </c>
      <c r="K54" s="116">
        <v>0.75</v>
      </c>
      <c r="L54" s="101">
        <f>K54*C54</f>
        <v>0.249975</v>
      </c>
      <c r="M54" s="101">
        <f>L54*D52</f>
        <v>1.8746250187499998E-3</v>
      </c>
    </row>
    <row r="55" spans="2:13" ht="84" customHeight="1">
      <c r="B55" s="109" t="s">
        <v>440</v>
      </c>
      <c r="C55" s="104">
        <v>0.33329999999999999</v>
      </c>
      <c r="D55" s="104">
        <f>C3*C47*C52*C55</f>
        <v>2.4995000249999995E-3</v>
      </c>
      <c r="E55" s="110" t="s">
        <v>441</v>
      </c>
      <c r="F55" s="110" t="s">
        <v>442</v>
      </c>
      <c r="G55" s="110" t="s">
        <v>443</v>
      </c>
      <c r="H55" s="116">
        <v>1</v>
      </c>
      <c r="I55" s="101">
        <f>H55*C55</f>
        <v>0.33329999999999999</v>
      </c>
      <c r="J55" s="101">
        <f>I55*D52</f>
        <v>2.4995000249999995E-3</v>
      </c>
      <c r="K55" s="116">
        <v>0.75</v>
      </c>
      <c r="L55" s="101">
        <f>K55*C55</f>
        <v>0.249975</v>
      </c>
      <c r="M55" s="101">
        <f>L55*D52</f>
        <v>1.8746250187499998E-3</v>
      </c>
    </row>
    <row r="56" spans="2:13" ht="14.25" customHeight="1">
      <c r="B56" s="92" t="s">
        <v>444</v>
      </c>
      <c r="C56" s="93">
        <v>0.33339999999999997</v>
      </c>
      <c r="D56" s="93">
        <f>C3*C47*C56</f>
        <v>7.5014999999999995E-3</v>
      </c>
      <c r="E56" s="92"/>
      <c r="F56" s="92"/>
      <c r="G56" s="92"/>
      <c r="H56" s="96"/>
      <c r="I56" s="96">
        <f>SUM(I57:I59)*C56</f>
        <v>0.30558610499999994</v>
      </c>
      <c r="J56" s="95">
        <f>SUM(J57:J59)</f>
        <v>6.8756873624999989E-3</v>
      </c>
      <c r="K56" s="96"/>
      <c r="L56" s="96">
        <f>SUM(L57:L59)*C56</f>
        <v>0.27780555000000001</v>
      </c>
      <c r="M56" s="95">
        <f>SUM(M57:M59)</f>
        <v>6.2506248749999993E-3</v>
      </c>
    </row>
    <row r="57" spans="2:13" ht="84" customHeight="1">
      <c r="B57" s="109" t="s">
        <v>445</v>
      </c>
      <c r="C57" s="104">
        <v>0.33329999999999999</v>
      </c>
      <c r="D57" s="104">
        <f>C3*C47*C56*C57</f>
        <v>2.5002499499999996E-3</v>
      </c>
      <c r="E57" s="110" t="s">
        <v>446</v>
      </c>
      <c r="F57" s="110" t="s">
        <v>447</v>
      </c>
      <c r="G57" s="110" t="s">
        <v>448</v>
      </c>
      <c r="H57" s="116">
        <v>1</v>
      </c>
      <c r="I57" s="104">
        <f>H57*C57</f>
        <v>0.33329999999999999</v>
      </c>
      <c r="J57" s="101">
        <f>I57*D56</f>
        <v>2.5002499499999996E-3</v>
      </c>
      <c r="K57" s="116">
        <v>0.75</v>
      </c>
      <c r="L57" s="104">
        <f>K57*C57</f>
        <v>0.249975</v>
      </c>
      <c r="M57" s="101">
        <f>L57*D56</f>
        <v>1.8751874624999998E-3</v>
      </c>
    </row>
    <row r="58" spans="2:13" ht="84" customHeight="1">
      <c r="B58" s="109" t="s">
        <v>449</v>
      </c>
      <c r="C58" s="104">
        <v>0.33329999999999999</v>
      </c>
      <c r="D58" s="104">
        <f>C3*C47*C56*C58</f>
        <v>2.5002499499999996E-3</v>
      </c>
      <c r="E58" s="110" t="s">
        <v>450</v>
      </c>
      <c r="F58" s="110" t="s">
        <v>451</v>
      </c>
      <c r="G58" s="110" t="s">
        <v>452</v>
      </c>
      <c r="H58" s="116">
        <v>0.75</v>
      </c>
      <c r="I58" s="104">
        <f>H58*C58</f>
        <v>0.249975</v>
      </c>
      <c r="J58" s="101">
        <f>I58*D56</f>
        <v>1.8751874624999998E-3</v>
      </c>
      <c r="K58" s="116">
        <v>0.75</v>
      </c>
      <c r="L58" s="104">
        <f>K58*C58</f>
        <v>0.249975</v>
      </c>
      <c r="M58" s="101">
        <f>L58*D56</f>
        <v>1.8751874624999998E-3</v>
      </c>
    </row>
    <row r="59" spans="2:13" ht="84" customHeight="1">
      <c r="B59" s="109" t="s">
        <v>453</v>
      </c>
      <c r="C59" s="104">
        <v>0.33329999999999999</v>
      </c>
      <c r="D59" s="104">
        <f>C3*C47*C56*C59</f>
        <v>2.5002499499999996E-3</v>
      </c>
      <c r="E59" s="110" t="s">
        <v>454</v>
      </c>
      <c r="F59" s="110" t="s">
        <v>455</v>
      </c>
      <c r="G59" s="110" t="s">
        <v>456</v>
      </c>
      <c r="H59" s="116">
        <v>1</v>
      </c>
      <c r="I59" s="104">
        <f>H59*C59</f>
        <v>0.33329999999999999</v>
      </c>
      <c r="J59" s="101">
        <f>I59*D56</f>
        <v>2.5002499499999996E-3</v>
      </c>
      <c r="K59" s="116">
        <v>1</v>
      </c>
      <c r="L59" s="104">
        <f>K59*C59</f>
        <v>0.33329999999999999</v>
      </c>
      <c r="M59" s="101">
        <f>L59*D56</f>
        <v>2.5002499499999996E-3</v>
      </c>
    </row>
    <row r="60" spans="2:13" ht="14.25" customHeight="1">
      <c r="B60" s="87" t="s">
        <v>457</v>
      </c>
      <c r="C60" s="118">
        <f>C4+C17+C32+C47</f>
        <v>1</v>
      </c>
      <c r="D60" s="118">
        <f>D4+D17+D32+D47</f>
        <v>0.15</v>
      </c>
      <c r="E60" s="119"/>
      <c r="F60" s="119"/>
      <c r="G60" s="119"/>
      <c r="H60" s="90"/>
      <c r="I60" s="120">
        <f>I4+I17+I32+I47</f>
        <v>0.97383808337499977</v>
      </c>
      <c r="J60" s="120">
        <f>SUM(J4+J17+J32+J47)</f>
        <v>0.14607571250624998</v>
      </c>
      <c r="K60" s="120"/>
      <c r="L60" s="120">
        <f>L4+L17+L32+L47</f>
        <v>0.90681779174999999</v>
      </c>
      <c r="M60" s="120">
        <f>SUM(M4+M17+M32+M47)</f>
        <v>0.13452287501249999</v>
      </c>
    </row>
    <row r="62" spans="2:13" ht="14.25" customHeight="1">
      <c r="B62" s="121" t="s">
        <v>458</v>
      </c>
      <c r="C62" s="122" t="s">
        <v>459</v>
      </c>
    </row>
    <row r="63" spans="2:13" ht="14.25" customHeight="1">
      <c r="B63" s="123" t="s">
        <v>460</v>
      </c>
      <c r="C63" s="124">
        <v>0.35</v>
      </c>
    </row>
    <row r="64" spans="2:13" ht="14.25" customHeight="1">
      <c r="B64" s="123" t="s">
        <v>461</v>
      </c>
      <c r="C64" s="124">
        <v>0.3</v>
      </c>
    </row>
    <row r="65" spans="2:3" ht="14.25" customHeight="1">
      <c r="B65" s="123" t="s">
        <v>462</v>
      </c>
      <c r="C65" s="124">
        <v>0.2</v>
      </c>
    </row>
    <row r="66" spans="2:3" ht="14.25" customHeight="1">
      <c r="B66" s="123" t="s">
        <v>463</v>
      </c>
      <c r="C66" s="124">
        <v>0.15</v>
      </c>
    </row>
  </sheetData>
  <mergeCells count="7">
    <mergeCell ref="H2:J2"/>
    <mergeCell ref="K2:M2"/>
    <mergeCell ref="B2:B3"/>
    <mergeCell ref="D2:D3"/>
    <mergeCell ref="E2:E3"/>
    <mergeCell ref="F2:F3"/>
    <mergeCell ref="G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85"/>
  <sheetViews>
    <sheetView tabSelected="1" topLeftCell="E32" zoomScale="75" zoomScaleNormal="75" workbookViewId="0">
      <selection activeCell="I39" sqref="I39"/>
    </sheetView>
  </sheetViews>
  <sheetFormatPr defaultColWidth="11.42578125" defaultRowHeight="14.45"/>
  <cols>
    <col min="2" max="2" width="40.5703125" customWidth="1"/>
    <col min="3" max="3" width="31.42578125" customWidth="1"/>
    <col min="4" max="4" width="22" customWidth="1"/>
    <col min="5" max="5" width="74.7109375" customWidth="1"/>
    <col min="6" max="6" width="31.85546875" customWidth="1"/>
    <col min="7" max="7" width="33.28515625" customWidth="1"/>
    <col min="9" max="9" width="18.140625" customWidth="1"/>
    <col min="10" max="10" width="15.42578125" customWidth="1"/>
    <col min="12" max="12" width="18.5703125" customWidth="1"/>
    <col min="13" max="13" width="15.5703125" customWidth="1"/>
  </cols>
  <sheetData>
    <row r="2" spans="2:13" ht="15" customHeight="1">
      <c r="B2" s="190" t="s">
        <v>464</v>
      </c>
      <c r="C2" s="125" t="s">
        <v>25</v>
      </c>
      <c r="D2" s="191" t="s">
        <v>115</v>
      </c>
      <c r="E2" s="191" t="s">
        <v>116</v>
      </c>
      <c r="F2" s="191" t="s">
        <v>117</v>
      </c>
      <c r="G2" s="192" t="s">
        <v>118</v>
      </c>
      <c r="H2" s="188" t="s">
        <v>119</v>
      </c>
      <c r="I2" s="188"/>
      <c r="J2" s="188"/>
      <c r="K2" s="188" t="s">
        <v>120</v>
      </c>
      <c r="L2" s="188"/>
      <c r="M2" s="188"/>
    </row>
    <row r="3" spans="2:13" ht="22.5" customHeight="1">
      <c r="B3" s="190"/>
      <c r="C3" s="126">
        <v>0.2</v>
      </c>
      <c r="D3" s="191"/>
      <c r="E3" s="191"/>
      <c r="F3" s="191"/>
      <c r="G3" s="191"/>
      <c r="H3" s="127" t="s">
        <v>50</v>
      </c>
      <c r="I3" s="128" t="s">
        <v>121</v>
      </c>
      <c r="J3" s="128" t="s">
        <v>122</v>
      </c>
      <c r="K3" s="127" t="s">
        <v>50</v>
      </c>
      <c r="L3" s="128" t="s">
        <v>121</v>
      </c>
      <c r="M3" s="128" t="s">
        <v>122</v>
      </c>
    </row>
    <row r="4" spans="2:13" ht="29.25" customHeight="1">
      <c r="B4" s="129" t="s">
        <v>465</v>
      </c>
      <c r="C4" s="130">
        <v>0.4</v>
      </c>
      <c r="D4" s="130">
        <f>C3*C4</f>
        <v>8.0000000000000016E-2</v>
      </c>
      <c r="E4" s="131"/>
      <c r="F4" s="132"/>
      <c r="G4" s="132"/>
      <c r="H4" s="133"/>
      <c r="I4" s="133">
        <f>SUM(I5+I10)*C4</f>
        <v>0.22500000000000001</v>
      </c>
      <c r="J4" s="133">
        <f>SUM(J5+J10)</f>
        <v>4.5000000000000012E-2</v>
      </c>
      <c r="K4" s="133"/>
      <c r="L4" s="133">
        <f>SUM(L5+L10)*C4</f>
        <v>0.36250000000000004</v>
      </c>
      <c r="M4" s="133">
        <f>SUM(M5+M10)</f>
        <v>7.2500000000000009E-2</v>
      </c>
    </row>
    <row r="5" spans="2:13" ht="16.5" customHeight="1">
      <c r="B5" s="134" t="s">
        <v>466</v>
      </c>
      <c r="C5" s="135">
        <v>0.5</v>
      </c>
      <c r="D5" s="135">
        <f>C3*C4*C5</f>
        <v>4.0000000000000008E-2</v>
      </c>
      <c r="E5" s="136"/>
      <c r="F5" s="136"/>
      <c r="G5" s="137"/>
      <c r="H5" s="138"/>
      <c r="I5" s="139">
        <f>SUM(I6:I9)*C5</f>
        <v>0.28125</v>
      </c>
      <c r="J5" s="139">
        <f>SUM(J6:J9)</f>
        <v>2.2500000000000006E-2</v>
      </c>
      <c r="K5" s="138"/>
      <c r="L5" s="139">
        <f>SUM(L6:L9)*C5</f>
        <v>0.4375</v>
      </c>
      <c r="M5" s="139">
        <f>SUM(M6:M9)</f>
        <v>3.5000000000000003E-2</v>
      </c>
    </row>
    <row r="6" spans="2:13" ht="73.5" customHeight="1">
      <c r="B6" s="109" t="s">
        <v>467</v>
      </c>
      <c r="C6" s="104">
        <v>0.25</v>
      </c>
      <c r="D6" s="104">
        <f>C3*C4*C5*C6</f>
        <v>1.0000000000000002E-2</v>
      </c>
      <c r="E6" s="109" t="s">
        <v>468</v>
      </c>
      <c r="F6" s="109" t="s">
        <v>469</v>
      </c>
      <c r="G6" s="140" t="s">
        <v>470</v>
      </c>
      <c r="H6" s="141">
        <v>0.25</v>
      </c>
      <c r="I6" s="101">
        <f>H6*C6</f>
        <v>6.25E-2</v>
      </c>
      <c r="J6" s="101">
        <f>I6*D5</f>
        <v>2.5000000000000005E-3</v>
      </c>
      <c r="K6" s="104">
        <v>0.75</v>
      </c>
      <c r="L6" s="101">
        <f>K6*C6</f>
        <v>0.1875</v>
      </c>
      <c r="M6" s="101">
        <f>L6*D5</f>
        <v>7.5000000000000015E-3</v>
      </c>
    </row>
    <row r="7" spans="2:13" ht="104.25" customHeight="1">
      <c r="B7" s="109" t="s">
        <v>471</v>
      </c>
      <c r="C7" s="104">
        <v>0.25</v>
      </c>
      <c r="D7" s="104">
        <f>C3*C4*C5*C7</f>
        <v>1.0000000000000002E-2</v>
      </c>
      <c r="E7" s="109" t="s">
        <v>472</v>
      </c>
      <c r="F7" s="109" t="s">
        <v>473</v>
      </c>
      <c r="G7" s="140" t="s">
        <v>474</v>
      </c>
      <c r="H7" s="104">
        <v>0.75</v>
      </c>
      <c r="I7" s="101">
        <f>H7*C7</f>
        <v>0.1875</v>
      </c>
      <c r="J7" s="101">
        <f>I7*D5</f>
        <v>7.5000000000000015E-3</v>
      </c>
      <c r="K7" s="104">
        <v>1</v>
      </c>
      <c r="L7" s="101">
        <f>K7*C7</f>
        <v>0.25</v>
      </c>
      <c r="M7" s="101">
        <f>L7*D5</f>
        <v>1.0000000000000002E-2</v>
      </c>
    </row>
    <row r="8" spans="2:13" ht="101.25" customHeight="1">
      <c r="B8" s="109" t="s">
        <v>475</v>
      </c>
      <c r="C8" s="104">
        <v>0.25</v>
      </c>
      <c r="D8" s="104">
        <f>C3*C4*C5*C8</f>
        <v>1.0000000000000002E-2</v>
      </c>
      <c r="E8" s="97" t="s">
        <v>476</v>
      </c>
      <c r="F8" s="142" t="s">
        <v>477</v>
      </c>
      <c r="G8" s="143" t="s">
        <v>478</v>
      </c>
      <c r="H8" s="104">
        <v>0.5</v>
      </c>
      <c r="I8" s="101">
        <f>H8*C8</f>
        <v>0.125</v>
      </c>
      <c r="J8" s="104">
        <f>I8*D5</f>
        <v>5.000000000000001E-3</v>
      </c>
      <c r="K8" s="104">
        <v>1</v>
      </c>
      <c r="L8" s="101">
        <f>K8*C8</f>
        <v>0.25</v>
      </c>
      <c r="M8" s="104">
        <f>L8*D5</f>
        <v>1.0000000000000002E-2</v>
      </c>
    </row>
    <row r="9" spans="2:13" ht="87" customHeight="1">
      <c r="B9" s="109" t="s">
        <v>479</v>
      </c>
      <c r="C9" s="104">
        <v>0.25</v>
      </c>
      <c r="D9" s="104">
        <f>C3*C4*C5*C9</f>
        <v>1.0000000000000002E-2</v>
      </c>
      <c r="E9" s="109" t="s">
        <v>480</v>
      </c>
      <c r="F9" s="109" t="s">
        <v>481</v>
      </c>
      <c r="G9" s="140" t="s">
        <v>482</v>
      </c>
      <c r="H9" s="104">
        <v>0.75</v>
      </c>
      <c r="I9" s="101">
        <f>H9*C9</f>
        <v>0.1875</v>
      </c>
      <c r="J9" s="104">
        <f>I9*D5</f>
        <v>7.5000000000000015E-3</v>
      </c>
      <c r="K9" s="104">
        <v>0.75</v>
      </c>
      <c r="L9" s="101">
        <f>K9*C9</f>
        <v>0.1875</v>
      </c>
      <c r="M9" s="104">
        <f>L9*D5</f>
        <v>7.5000000000000015E-3</v>
      </c>
    </row>
    <row r="10" spans="2:13" ht="18" customHeight="1">
      <c r="B10" s="144" t="s">
        <v>483</v>
      </c>
      <c r="C10" s="135">
        <v>0.5</v>
      </c>
      <c r="D10" s="135">
        <f>C3*C4*C10</f>
        <v>4.0000000000000008E-2</v>
      </c>
      <c r="E10" s="136"/>
      <c r="F10" s="136"/>
      <c r="G10" s="137"/>
      <c r="H10" s="138"/>
      <c r="I10" s="139">
        <f>SUM(I11:I14)*C10</f>
        <v>0.28125</v>
      </c>
      <c r="J10" s="139">
        <f>SUM(J11:J14)</f>
        <v>2.2500000000000003E-2</v>
      </c>
      <c r="K10" s="138"/>
      <c r="L10" s="139">
        <f>SUM(L11:L14)*C10</f>
        <v>0.46875</v>
      </c>
      <c r="M10" s="139">
        <f>SUM(M11:M14)</f>
        <v>3.7500000000000006E-2</v>
      </c>
    </row>
    <row r="11" spans="2:13" ht="82.5" customHeight="1">
      <c r="B11" s="109" t="s">
        <v>484</v>
      </c>
      <c r="C11" s="104">
        <v>0.25</v>
      </c>
      <c r="D11" s="104">
        <f>C3*C4*C5*C11</f>
        <v>1.0000000000000002E-2</v>
      </c>
      <c r="E11" s="109" t="s">
        <v>485</v>
      </c>
      <c r="F11" s="109" t="s">
        <v>486</v>
      </c>
      <c r="G11" s="140" t="s">
        <v>487</v>
      </c>
      <c r="H11" s="104">
        <v>0.75</v>
      </c>
      <c r="I11" s="101">
        <f>H11*C11</f>
        <v>0.1875</v>
      </c>
      <c r="J11" s="101">
        <f>I11*D10</f>
        <v>7.5000000000000015E-3</v>
      </c>
      <c r="K11" s="104">
        <v>1</v>
      </c>
      <c r="L11" s="101">
        <f>K11*C11</f>
        <v>0.25</v>
      </c>
      <c r="M11" s="101">
        <f>L11*D10</f>
        <v>1.0000000000000002E-2</v>
      </c>
    </row>
    <row r="12" spans="2:13" ht="94.5" customHeight="1">
      <c r="B12" s="109" t="s">
        <v>488</v>
      </c>
      <c r="C12" s="104">
        <v>0.25</v>
      </c>
      <c r="D12" s="104">
        <f>C3*C4*C5*C12</f>
        <v>1.0000000000000002E-2</v>
      </c>
      <c r="E12" s="145" t="s">
        <v>489</v>
      </c>
      <c r="F12" s="142" t="s">
        <v>490</v>
      </c>
      <c r="G12" s="143" t="s">
        <v>491</v>
      </c>
      <c r="H12" s="116">
        <v>0.25</v>
      </c>
      <c r="I12" s="101">
        <f>H12*C12</f>
        <v>6.25E-2</v>
      </c>
      <c r="J12" s="101">
        <f>I12*D10</f>
        <v>2.5000000000000005E-3</v>
      </c>
      <c r="K12" s="116">
        <v>0.75</v>
      </c>
      <c r="L12" s="101">
        <f>K12*C12</f>
        <v>0.1875</v>
      </c>
      <c r="M12" s="101">
        <f>L12*D10</f>
        <v>7.5000000000000015E-3</v>
      </c>
    </row>
    <row r="13" spans="2:13" ht="92.25" customHeight="1">
      <c r="B13" s="109" t="s">
        <v>492</v>
      </c>
      <c r="C13" s="104">
        <v>0.25</v>
      </c>
      <c r="D13" s="104">
        <f>C3*C4*C5*C13</f>
        <v>1.0000000000000002E-2</v>
      </c>
      <c r="E13" s="146" t="s">
        <v>493</v>
      </c>
      <c r="F13" s="146" t="s">
        <v>494</v>
      </c>
      <c r="G13" s="147" t="s">
        <v>495</v>
      </c>
      <c r="H13" s="116">
        <v>0.75</v>
      </c>
      <c r="I13" s="101">
        <f>H13*C13</f>
        <v>0.1875</v>
      </c>
      <c r="J13" s="104">
        <f>I13*D10</f>
        <v>7.5000000000000015E-3</v>
      </c>
      <c r="K13" s="116">
        <v>1</v>
      </c>
      <c r="L13" s="101">
        <f>K13*C13</f>
        <v>0.25</v>
      </c>
      <c r="M13" s="104">
        <f>L13*D10</f>
        <v>1.0000000000000002E-2</v>
      </c>
    </row>
    <row r="14" spans="2:13" ht="72" customHeight="1">
      <c r="B14" s="109" t="s">
        <v>496</v>
      </c>
      <c r="C14" s="104">
        <v>0.25</v>
      </c>
      <c r="D14" s="104">
        <f>C3*C4*C5*C14</f>
        <v>1.0000000000000002E-2</v>
      </c>
      <c r="E14" s="146" t="s">
        <v>497</v>
      </c>
      <c r="F14" s="146" t="s">
        <v>498</v>
      </c>
      <c r="G14" s="147" t="s">
        <v>499</v>
      </c>
      <c r="H14" s="116">
        <v>0.5</v>
      </c>
      <c r="I14" s="101">
        <f>H14*C14</f>
        <v>0.125</v>
      </c>
      <c r="J14" s="104">
        <f>I14*D10</f>
        <v>5.000000000000001E-3</v>
      </c>
      <c r="K14" s="116">
        <v>1</v>
      </c>
      <c r="L14" s="101">
        <f>K14*C14</f>
        <v>0.25</v>
      </c>
      <c r="M14" s="104">
        <f>L14*D10</f>
        <v>1.0000000000000002E-2</v>
      </c>
    </row>
    <row r="15" spans="2:13" ht="14.25" customHeight="1">
      <c r="B15" s="148" t="s">
        <v>500</v>
      </c>
      <c r="C15" s="149">
        <v>0.4</v>
      </c>
      <c r="D15" s="149">
        <f>C3*C15</f>
        <v>8.0000000000000016E-2</v>
      </c>
      <c r="E15" s="150"/>
      <c r="F15" s="150"/>
      <c r="G15" s="151"/>
      <c r="H15" s="133"/>
      <c r="I15" s="133">
        <f>SUM(I16+I19+I23)*C15</f>
        <v>0.31331999999999999</v>
      </c>
      <c r="J15" s="133">
        <f>SUM(J16+J19+J23)</f>
        <v>6.2664000000000011E-2</v>
      </c>
      <c r="K15" s="133"/>
      <c r="L15" s="133">
        <f>SUM(L16+L19+L23)*C15</f>
        <v>0.35332000000000008</v>
      </c>
      <c r="M15" s="133">
        <f>SUM(M16+M19+M23)</f>
        <v>7.0664000000000005E-2</v>
      </c>
    </row>
    <row r="16" spans="2:13" ht="14.25" customHeight="1">
      <c r="B16" s="144" t="s">
        <v>501</v>
      </c>
      <c r="C16" s="152">
        <v>0.4</v>
      </c>
      <c r="D16" s="152">
        <f>C3*C15*C16</f>
        <v>3.2000000000000008E-2</v>
      </c>
      <c r="E16" s="153"/>
      <c r="F16" s="153"/>
      <c r="G16" s="154"/>
      <c r="H16" s="138"/>
      <c r="I16" s="139">
        <f>SUM(I17:I18)*C16</f>
        <v>0.25</v>
      </c>
      <c r="J16" s="139">
        <f>SUM(J17:J18)</f>
        <v>2.0000000000000004E-2</v>
      </c>
      <c r="K16" s="138"/>
      <c r="L16" s="139">
        <f>SUM(L17:L18)*C16</f>
        <v>0.4</v>
      </c>
      <c r="M16" s="139">
        <f>SUM(M17:M18)</f>
        <v>3.2000000000000008E-2</v>
      </c>
    </row>
    <row r="17" spans="2:13" ht="72" customHeight="1">
      <c r="B17" s="110" t="s">
        <v>502</v>
      </c>
      <c r="C17" s="104">
        <v>0.5</v>
      </c>
      <c r="D17" s="104">
        <f>C3*C15*C16*C17</f>
        <v>1.6000000000000004E-2</v>
      </c>
      <c r="E17" s="146" t="s">
        <v>503</v>
      </c>
      <c r="F17" s="146" t="s">
        <v>504</v>
      </c>
      <c r="G17" s="147" t="s">
        <v>505</v>
      </c>
      <c r="H17" s="116">
        <v>0.75</v>
      </c>
      <c r="I17" s="101">
        <f>H17*C17</f>
        <v>0.375</v>
      </c>
      <c r="J17" s="101">
        <f>I17*D16</f>
        <v>1.2000000000000004E-2</v>
      </c>
      <c r="K17" s="116">
        <v>1</v>
      </c>
      <c r="L17" s="101">
        <f>K17*C17</f>
        <v>0.5</v>
      </c>
      <c r="M17" s="101">
        <f>L17*D16</f>
        <v>1.6000000000000004E-2</v>
      </c>
    </row>
    <row r="18" spans="2:13" ht="72" customHeight="1">
      <c r="B18" s="110" t="s">
        <v>506</v>
      </c>
      <c r="C18" s="104">
        <v>0.5</v>
      </c>
      <c r="D18" s="104">
        <f>C3*C15*C16*C17</f>
        <v>1.6000000000000004E-2</v>
      </c>
      <c r="E18" s="146" t="s">
        <v>507</v>
      </c>
      <c r="F18" s="146" t="s">
        <v>508</v>
      </c>
      <c r="G18" s="147" t="s">
        <v>509</v>
      </c>
      <c r="H18" s="116">
        <v>0.5</v>
      </c>
      <c r="I18" s="101">
        <f>H18*C18</f>
        <v>0.25</v>
      </c>
      <c r="J18" s="101">
        <f>I18*D16</f>
        <v>8.0000000000000019E-3</v>
      </c>
      <c r="K18" s="116">
        <v>1</v>
      </c>
      <c r="L18" s="101">
        <f>K18*C18</f>
        <v>0.5</v>
      </c>
      <c r="M18" s="101">
        <f>L18*D16</f>
        <v>1.6000000000000004E-2</v>
      </c>
    </row>
    <row r="19" spans="2:13" ht="14.25" customHeight="1">
      <c r="B19" s="144" t="s">
        <v>510</v>
      </c>
      <c r="C19" s="152">
        <v>0.4</v>
      </c>
      <c r="D19" s="152">
        <f>C3*C15*C19</f>
        <v>3.2000000000000008E-2</v>
      </c>
      <c r="E19" s="153"/>
      <c r="F19" s="153"/>
      <c r="G19" s="154"/>
      <c r="H19" s="138"/>
      <c r="I19" s="139">
        <f>SUM(I20:I22)*C19</f>
        <v>0.33329999999999999</v>
      </c>
      <c r="J19" s="139">
        <f>SUM(J20:J22)</f>
        <v>2.6664000000000007E-2</v>
      </c>
      <c r="K19" s="138"/>
      <c r="L19" s="139">
        <f>SUM(L20:L22)*C19</f>
        <v>0.33330000000000004</v>
      </c>
      <c r="M19" s="139">
        <f>SUM(M20:M22)</f>
        <v>2.6664000000000004E-2</v>
      </c>
    </row>
    <row r="20" spans="2:13" ht="72" customHeight="1">
      <c r="B20" s="110" t="s">
        <v>511</v>
      </c>
      <c r="C20" s="104">
        <v>0.33329999999999999</v>
      </c>
      <c r="D20" s="104">
        <f>C3*C15*C19*C20</f>
        <v>1.0665600000000003E-2</v>
      </c>
      <c r="E20" s="146" t="s">
        <v>512</v>
      </c>
      <c r="F20" s="146" t="s">
        <v>513</v>
      </c>
      <c r="G20" s="147" t="s">
        <v>514</v>
      </c>
      <c r="H20" s="116">
        <v>1</v>
      </c>
      <c r="I20" s="101">
        <f>H20*C20</f>
        <v>0.33329999999999999</v>
      </c>
      <c r="J20" s="101">
        <f>I20*D19</f>
        <v>1.0665600000000003E-2</v>
      </c>
      <c r="K20" s="116">
        <v>1</v>
      </c>
      <c r="L20" s="101">
        <f>K20*C20</f>
        <v>0.33329999999999999</v>
      </c>
      <c r="M20" s="101">
        <f>L20*D19</f>
        <v>1.0665600000000003E-2</v>
      </c>
    </row>
    <row r="21" spans="2:13" ht="72" customHeight="1">
      <c r="B21" s="110" t="s">
        <v>515</v>
      </c>
      <c r="C21" s="104">
        <v>0.33329999999999999</v>
      </c>
      <c r="D21" s="104">
        <f>C3*C15*C19*C21</f>
        <v>1.0665600000000003E-2</v>
      </c>
      <c r="E21" s="146" t="s">
        <v>516</v>
      </c>
      <c r="F21" s="146" t="s">
        <v>517</v>
      </c>
      <c r="G21" s="147" t="s">
        <v>518</v>
      </c>
      <c r="H21" s="116">
        <v>1</v>
      </c>
      <c r="I21" s="101">
        <f>H21*C21</f>
        <v>0.33329999999999999</v>
      </c>
      <c r="J21" s="101">
        <f>I21*D19</f>
        <v>1.0665600000000003E-2</v>
      </c>
      <c r="K21" s="116">
        <v>0.75</v>
      </c>
      <c r="L21" s="101">
        <f>K21*C21</f>
        <v>0.249975</v>
      </c>
      <c r="M21" s="101">
        <f>L21*D19</f>
        <v>7.9992000000000014E-3</v>
      </c>
    </row>
    <row r="22" spans="2:13" ht="72" customHeight="1">
      <c r="B22" s="110" t="s">
        <v>519</v>
      </c>
      <c r="C22" s="104">
        <v>0.33329999999999999</v>
      </c>
      <c r="D22" s="104">
        <f>C3*C15*C19*C22</f>
        <v>1.0665600000000003E-2</v>
      </c>
      <c r="E22" s="146" t="s">
        <v>520</v>
      </c>
      <c r="F22" s="146" t="s">
        <v>521</v>
      </c>
      <c r="G22" s="147" t="s">
        <v>522</v>
      </c>
      <c r="H22" s="116">
        <v>0.5</v>
      </c>
      <c r="I22" s="101">
        <f>H22*C22</f>
        <v>0.16664999999999999</v>
      </c>
      <c r="J22" s="104">
        <f>I22*D19</f>
        <v>5.3328000000000013E-3</v>
      </c>
      <c r="K22" s="116">
        <v>0.75</v>
      </c>
      <c r="L22" s="101">
        <f>K22*C22</f>
        <v>0.249975</v>
      </c>
      <c r="M22" s="104">
        <f>L22*D19</f>
        <v>7.9992000000000014E-3</v>
      </c>
    </row>
    <row r="23" spans="2:13" ht="14.25" customHeight="1">
      <c r="B23" s="144" t="s">
        <v>523</v>
      </c>
      <c r="C23" s="152">
        <v>0.2</v>
      </c>
      <c r="D23" s="152">
        <f>C3*C15*C23</f>
        <v>1.6000000000000004E-2</v>
      </c>
      <c r="E23" s="153"/>
      <c r="F23" s="153"/>
      <c r="G23" s="154"/>
      <c r="H23" s="138"/>
      <c r="I23" s="139">
        <f>SUM(I24:I25)*C23</f>
        <v>0.2</v>
      </c>
      <c r="J23" s="139">
        <f>SUM(J24:J25)</f>
        <v>1.6000000000000004E-2</v>
      </c>
      <c r="K23" s="138"/>
      <c r="L23" s="139">
        <f>SUM(L24:L25)*C23</f>
        <v>0.15000000000000002</v>
      </c>
      <c r="M23" s="139">
        <f>SUM(M24:M25)</f>
        <v>1.2000000000000004E-2</v>
      </c>
    </row>
    <row r="24" spans="2:13" ht="72" customHeight="1">
      <c r="B24" s="110" t="s">
        <v>524</v>
      </c>
      <c r="C24" s="104">
        <v>0.5</v>
      </c>
      <c r="D24" s="104">
        <f>C3*C15*C23*C24</f>
        <v>8.0000000000000019E-3</v>
      </c>
      <c r="E24" s="146" t="s">
        <v>525</v>
      </c>
      <c r="F24" s="146" t="s">
        <v>526</v>
      </c>
      <c r="G24" s="147" t="s">
        <v>527</v>
      </c>
      <c r="H24" s="116">
        <v>1</v>
      </c>
      <c r="I24" s="101">
        <f>H24*C24</f>
        <v>0.5</v>
      </c>
      <c r="J24" s="101">
        <f>I24*D23</f>
        <v>8.0000000000000019E-3</v>
      </c>
      <c r="K24" s="116">
        <v>1</v>
      </c>
      <c r="L24" s="101">
        <f>K24*C24</f>
        <v>0.5</v>
      </c>
      <c r="M24" s="101">
        <f>L24*D23</f>
        <v>8.0000000000000019E-3</v>
      </c>
    </row>
    <row r="25" spans="2:13" ht="72" customHeight="1">
      <c r="B25" s="110" t="s">
        <v>528</v>
      </c>
      <c r="C25" s="104">
        <v>0.5</v>
      </c>
      <c r="D25" s="104">
        <f>C3*C15*C23*C25</f>
        <v>8.0000000000000019E-3</v>
      </c>
      <c r="E25" s="146" t="s">
        <v>529</v>
      </c>
      <c r="F25" s="146" t="s">
        <v>530</v>
      </c>
      <c r="G25" s="147" t="s">
        <v>531</v>
      </c>
      <c r="H25" s="116">
        <v>1</v>
      </c>
      <c r="I25" s="101">
        <f>H25*C25</f>
        <v>0.5</v>
      </c>
      <c r="J25" s="101">
        <f>I25*D23</f>
        <v>8.0000000000000019E-3</v>
      </c>
      <c r="K25" s="116">
        <v>0.5</v>
      </c>
      <c r="L25" s="101">
        <f>K25*C25</f>
        <v>0.25</v>
      </c>
      <c r="M25" s="101">
        <f>L25*D23</f>
        <v>4.000000000000001E-3</v>
      </c>
    </row>
    <row r="26" spans="2:13" ht="14.25" customHeight="1">
      <c r="B26" s="148" t="s">
        <v>532</v>
      </c>
      <c r="C26" s="149">
        <v>0.2</v>
      </c>
      <c r="D26" s="149">
        <f>C3*C26</f>
        <v>4.0000000000000008E-2</v>
      </c>
      <c r="E26" s="150"/>
      <c r="F26" s="150"/>
      <c r="G26" s="151"/>
      <c r="H26" s="133"/>
      <c r="I26" s="133">
        <f>SUM(I27+I31)*C26</f>
        <v>9.9990000000000009E-2</v>
      </c>
      <c r="J26" s="133">
        <f>SUM(J27+J31)</f>
        <v>1.9998000000000002E-2</v>
      </c>
      <c r="K26" s="133"/>
      <c r="L26" s="133">
        <f>SUM(L27+L31)*C26</f>
        <v>0.18331500000000001</v>
      </c>
      <c r="M26" s="133">
        <f>SUM(M27+M31)</f>
        <v>3.6663000000000008E-2</v>
      </c>
    </row>
    <row r="27" spans="2:13" ht="14.25" customHeight="1">
      <c r="B27" s="144" t="s">
        <v>533</v>
      </c>
      <c r="C27" s="152">
        <v>0.5</v>
      </c>
      <c r="D27" s="152">
        <f>C3*C26*C27</f>
        <v>2.0000000000000004E-2</v>
      </c>
      <c r="E27" s="153"/>
      <c r="F27" s="153"/>
      <c r="G27" s="154"/>
      <c r="H27" s="138"/>
      <c r="I27" s="139">
        <f>SUM(I28:I30)*C27</f>
        <v>0.20831250000000001</v>
      </c>
      <c r="J27" s="139">
        <f>SUM(J28:J30)</f>
        <v>8.3325000000000014E-3</v>
      </c>
      <c r="K27" s="138"/>
      <c r="L27" s="139">
        <f>SUM(L28:L30)*C27</f>
        <v>0.45828749999999996</v>
      </c>
      <c r="M27" s="139">
        <f>SUM(M28:M30)</f>
        <v>1.8331500000000004E-2</v>
      </c>
    </row>
    <row r="28" spans="2:13" ht="72" customHeight="1">
      <c r="B28" s="110" t="s">
        <v>534</v>
      </c>
      <c r="C28" s="104">
        <v>0.33329999999999999</v>
      </c>
      <c r="D28" s="104">
        <f>C3*C26*C27*C28</f>
        <v>6.6660000000000009E-3</v>
      </c>
      <c r="E28" s="146" t="s">
        <v>535</v>
      </c>
      <c r="F28" s="146" t="s">
        <v>536</v>
      </c>
      <c r="G28" s="147" t="s">
        <v>537</v>
      </c>
      <c r="H28" s="116">
        <v>0.25</v>
      </c>
      <c r="I28" s="101">
        <f>H28*C28</f>
        <v>8.3324999999999996E-2</v>
      </c>
      <c r="J28" s="101">
        <f>I28*D27</f>
        <v>1.6665000000000002E-3</v>
      </c>
      <c r="K28" s="116">
        <v>0.75</v>
      </c>
      <c r="L28" s="101">
        <f>K28*C28</f>
        <v>0.249975</v>
      </c>
      <c r="M28" s="101">
        <f>L28*D27</f>
        <v>4.9995000000000013E-3</v>
      </c>
    </row>
    <row r="29" spans="2:13" ht="72" customHeight="1">
      <c r="B29" s="110" t="s">
        <v>538</v>
      </c>
      <c r="C29" s="104">
        <v>0.33329999999999999</v>
      </c>
      <c r="D29" s="104">
        <f>C3*C26*C27*C29</f>
        <v>6.6660000000000009E-3</v>
      </c>
      <c r="E29" s="146" t="s">
        <v>539</v>
      </c>
      <c r="F29" s="146" t="s">
        <v>540</v>
      </c>
      <c r="G29" s="147" t="s">
        <v>541</v>
      </c>
      <c r="H29" s="116">
        <v>0.25</v>
      </c>
      <c r="I29" s="101">
        <f>H29*C29</f>
        <v>8.3324999999999996E-2</v>
      </c>
      <c r="J29" s="101">
        <f>I29*D27</f>
        <v>1.6665000000000002E-3</v>
      </c>
      <c r="K29" s="116">
        <v>1</v>
      </c>
      <c r="L29" s="101">
        <f>K29*C29</f>
        <v>0.33329999999999999</v>
      </c>
      <c r="M29" s="101">
        <f>L29*D27</f>
        <v>6.6660000000000009E-3</v>
      </c>
    </row>
    <row r="30" spans="2:13" ht="72" customHeight="1">
      <c r="B30" s="110" t="s">
        <v>542</v>
      </c>
      <c r="C30" s="104">
        <v>0.33329999999999999</v>
      </c>
      <c r="D30" s="104">
        <f>C3*C26*C27*C30</f>
        <v>6.6660000000000009E-3</v>
      </c>
      <c r="E30" s="146" t="s">
        <v>543</v>
      </c>
      <c r="F30" s="146" t="s">
        <v>544</v>
      </c>
      <c r="G30" s="147" t="s">
        <v>545</v>
      </c>
      <c r="H30" s="116">
        <v>0.75</v>
      </c>
      <c r="I30" s="101">
        <f>H30*C30</f>
        <v>0.249975</v>
      </c>
      <c r="J30" s="101">
        <f>I30*D27</f>
        <v>4.9995000000000013E-3</v>
      </c>
      <c r="K30" s="116">
        <v>1</v>
      </c>
      <c r="L30" s="101">
        <f>K30*C30</f>
        <v>0.33329999999999999</v>
      </c>
      <c r="M30" s="101">
        <f>L30*D27</f>
        <v>6.6660000000000009E-3</v>
      </c>
    </row>
    <row r="31" spans="2:13" ht="14.25" customHeight="1">
      <c r="B31" s="134" t="s">
        <v>546</v>
      </c>
      <c r="C31" s="152">
        <v>0.5</v>
      </c>
      <c r="D31" s="135">
        <f>C3*C26*C31</f>
        <v>2.0000000000000004E-2</v>
      </c>
      <c r="E31" s="153"/>
      <c r="F31" s="153"/>
      <c r="G31" s="154"/>
      <c r="H31" s="138"/>
      <c r="I31" s="139">
        <f>SUM(I32:I34)*C31</f>
        <v>0.29163749999999999</v>
      </c>
      <c r="J31" s="139">
        <f>SUM(J32:J34)</f>
        <v>1.1665500000000002E-2</v>
      </c>
      <c r="K31" s="138"/>
      <c r="L31" s="139">
        <f>SUM(L32:L34)*C31</f>
        <v>0.45828749999999996</v>
      </c>
      <c r="M31" s="139">
        <f>SUM(M32:M34)</f>
        <v>1.8331500000000004E-2</v>
      </c>
    </row>
    <row r="32" spans="2:13" ht="72" customHeight="1">
      <c r="B32" s="110" t="s">
        <v>547</v>
      </c>
      <c r="C32" s="104">
        <v>0.33329999999999999</v>
      </c>
      <c r="D32" s="104">
        <f>C3*C26*C31*C32</f>
        <v>6.6660000000000009E-3</v>
      </c>
      <c r="E32" s="146" t="s">
        <v>548</v>
      </c>
      <c r="F32" s="146" t="s">
        <v>549</v>
      </c>
      <c r="G32" s="147" t="s">
        <v>550</v>
      </c>
      <c r="H32" s="116">
        <v>0.25</v>
      </c>
      <c r="I32" s="101">
        <f>H32*C32</f>
        <v>8.3324999999999996E-2</v>
      </c>
      <c r="J32" s="101">
        <f>I32*D31</f>
        <v>1.6665000000000002E-3</v>
      </c>
      <c r="K32" s="116">
        <v>0.75</v>
      </c>
      <c r="L32" s="101">
        <f>K32*C32</f>
        <v>0.249975</v>
      </c>
      <c r="M32" s="101">
        <f>L32*D31</f>
        <v>4.9995000000000013E-3</v>
      </c>
    </row>
    <row r="33" spans="2:13" ht="87" customHeight="1">
      <c r="B33" s="110" t="s">
        <v>551</v>
      </c>
      <c r="C33" s="104">
        <v>0.33329999999999999</v>
      </c>
      <c r="D33" s="104">
        <f>C3*C26*C31*C33</f>
        <v>6.6660000000000009E-3</v>
      </c>
      <c r="E33" s="146" t="s">
        <v>552</v>
      </c>
      <c r="F33" s="146" t="s">
        <v>553</v>
      </c>
      <c r="G33" s="147" t="s">
        <v>554</v>
      </c>
      <c r="H33" s="116">
        <v>0.5</v>
      </c>
      <c r="I33" s="101">
        <f>H33*C33</f>
        <v>0.16664999999999999</v>
      </c>
      <c r="J33" s="101">
        <f>I33*D31</f>
        <v>3.3330000000000005E-3</v>
      </c>
      <c r="K33" s="116">
        <v>1</v>
      </c>
      <c r="L33" s="101">
        <f>K33*C33</f>
        <v>0.33329999999999999</v>
      </c>
      <c r="M33" s="101">
        <f>L33*D31</f>
        <v>6.6660000000000009E-3</v>
      </c>
    </row>
    <row r="34" spans="2:13" ht="72" customHeight="1">
      <c r="B34" s="110" t="s">
        <v>555</v>
      </c>
      <c r="C34" s="104">
        <v>0.33329999999999999</v>
      </c>
      <c r="D34" s="104">
        <f>C3*C26*C31*C34</f>
        <v>6.6660000000000009E-3</v>
      </c>
      <c r="E34" s="146" t="s">
        <v>556</v>
      </c>
      <c r="F34" s="146" t="s">
        <v>557</v>
      </c>
      <c r="G34" s="147" t="s">
        <v>558</v>
      </c>
      <c r="H34" s="116">
        <v>1</v>
      </c>
      <c r="I34" s="101">
        <f>H34*C34</f>
        <v>0.33329999999999999</v>
      </c>
      <c r="J34" s="101">
        <f>I34*D31</f>
        <v>6.6660000000000009E-3</v>
      </c>
      <c r="K34" s="116">
        <v>1</v>
      </c>
      <c r="L34" s="101">
        <f>K34*C34</f>
        <v>0.33329999999999999</v>
      </c>
      <c r="M34" s="101">
        <f>L34*D31</f>
        <v>6.6660000000000009E-3</v>
      </c>
    </row>
    <row r="35" spans="2:13" ht="14.25" customHeight="1">
      <c r="B35" s="155" t="s">
        <v>457</v>
      </c>
      <c r="C35" s="156">
        <f>C4+C15+C26</f>
        <v>1</v>
      </c>
      <c r="D35" s="156">
        <f>D4+D15+D26</f>
        <v>0.20000000000000004</v>
      </c>
      <c r="E35" s="150"/>
      <c r="F35" s="150"/>
      <c r="G35" s="151"/>
      <c r="H35" s="133"/>
      <c r="I35" s="156">
        <f>I4+I15+I26</f>
        <v>0.63831000000000004</v>
      </c>
      <c r="J35" s="156">
        <f>J4+J15+J26</f>
        <v>0.12766200000000003</v>
      </c>
      <c r="K35" s="156"/>
      <c r="L35" s="156">
        <f>L4+L15+L26</f>
        <v>0.89913500000000013</v>
      </c>
      <c r="M35" s="156">
        <f>M4+M15+M26</f>
        <v>0.17982700000000001</v>
      </c>
    </row>
    <row r="38" spans="2:13" ht="14.25" customHeight="1">
      <c r="B38" s="121" t="s">
        <v>458</v>
      </c>
      <c r="C38" s="122" t="s">
        <v>459</v>
      </c>
    </row>
    <row r="39" spans="2:13" ht="14.25" customHeight="1">
      <c r="B39" s="123" t="s">
        <v>559</v>
      </c>
      <c r="C39" s="124">
        <v>0.4</v>
      </c>
    </row>
    <row r="40" spans="2:13" ht="14.25" customHeight="1">
      <c r="B40" s="123" t="s">
        <v>560</v>
      </c>
      <c r="C40" s="124">
        <v>0.4</v>
      </c>
    </row>
    <row r="41" spans="2:13" ht="14.25" customHeight="1">
      <c r="B41" s="123" t="s">
        <v>561</v>
      </c>
      <c r="C41" s="124">
        <v>0.2</v>
      </c>
    </row>
    <row r="43" spans="2:13" ht="23.25" customHeight="1">
      <c r="B43" s="157" t="s">
        <v>562</v>
      </c>
    </row>
    <row r="45" spans="2:13" ht="14.25" customHeight="1">
      <c r="B45" s="189" t="s">
        <v>49</v>
      </c>
      <c r="C45" s="189"/>
      <c r="E45" s="187" t="s">
        <v>563</v>
      </c>
      <c r="F45" s="187"/>
    </row>
    <row r="46" spans="2:13" ht="14.25" customHeight="1">
      <c r="B46" s="158" t="s">
        <v>50</v>
      </c>
      <c r="C46" s="158" t="s">
        <v>51</v>
      </c>
      <c r="E46" s="3" t="s">
        <v>79</v>
      </c>
      <c r="F46" s="3" t="s">
        <v>564</v>
      </c>
    </row>
    <row r="47" spans="2:13" ht="14.25" customHeight="1">
      <c r="B47" s="49">
        <v>1</v>
      </c>
      <c r="C47" s="50" t="s">
        <v>54</v>
      </c>
      <c r="E47" s="53">
        <v>1</v>
      </c>
      <c r="F47" s="52" t="s">
        <v>565</v>
      </c>
    </row>
    <row r="48" spans="2:13" ht="14.25" customHeight="1">
      <c r="B48" s="49">
        <v>0.75</v>
      </c>
      <c r="C48" s="50" t="s">
        <v>56</v>
      </c>
      <c r="E48" s="53">
        <v>0.75</v>
      </c>
      <c r="F48" s="52" t="s">
        <v>566</v>
      </c>
    </row>
    <row r="49" spans="2:6" ht="14.25" customHeight="1">
      <c r="B49" s="49">
        <v>0.5</v>
      </c>
      <c r="C49" s="50" t="s">
        <v>58</v>
      </c>
      <c r="E49" s="53">
        <v>0.5</v>
      </c>
      <c r="F49" s="52" t="s">
        <v>567</v>
      </c>
    </row>
    <row r="50" spans="2:6" ht="14.25" customHeight="1">
      <c r="B50" s="49">
        <v>0.25</v>
      </c>
      <c r="C50" s="50" t="s">
        <v>60</v>
      </c>
      <c r="E50" s="53">
        <v>0.25</v>
      </c>
      <c r="F50" s="52" t="s">
        <v>568</v>
      </c>
    </row>
    <row r="51" spans="2:6" ht="14.25" customHeight="1">
      <c r="B51" s="53">
        <v>0</v>
      </c>
      <c r="C51" s="52" t="s">
        <v>62</v>
      </c>
      <c r="E51" s="53">
        <v>0</v>
      </c>
      <c r="F51" s="52" t="s">
        <v>569</v>
      </c>
    </row>
    <row r="53" spans="2:6" ht="14.25" customHeight="1">
      <c r="B53" s="187" t="s">
        <v>67</v>
      </c>
      <c r="C53" s="187"/>
    </row>
    <row r="54" spans="2:6" ht="14.25" customHeight="1">
      <c r="B54" s="57" t="s">
        <v>50</v>
      </c>
      <c r="C54" s="57" t="s">
        <v>69</v>
      </c>
      <c r="E54" s="187" t="s">
        <v>570</v>
      </c>
      <c r="F54" s="187"/>
    </row>
    <row r="55" spans="2:6" ht="14.25" customHeight="1">
      <c r="B55" s="49">
        <v>1</v>
      </c>
      <c r="C55" s="58" t="s">
        <v>71</v>
      </c>
      <c r="E55" s="187" t="s">
        <v>571</v>
      </c>
      <c r="F55" s="187"/>
    </row>
    <row r="56" spans="2:6" ht="14.25" customHeight="1">
      <c r="B56" s="49">
        <v>0.75</v>
      </c>
      <c r="C56" s="58" t="s">
        <v>73</v>
      </c>
      <c r="E56" s="3" t="s">
        <v>79</v>
      </c>
      <c r="F56" s="3" t="s">
        <v>80</v>
      </c>
    </row>
    <row r="57" spans="2:6" ht="14.25" customHeight="1">
      <c r="B57" s="49">
        <v>0.5</v>
      </c>
      <c r="C57" s="58" t="s">
        <v>74</v>
      </c>
      <c r="E57" s="53">
        <v>1</v>
      </c>
      <c r="F57" s="52" t="s">
        <v>572</v>
      </c>
    </row>
    <row r="58" spans="2:6" ht="14.25" customHeight="1">
      <c r="B58" s="49">
        <v>0.25</v>
      </c>
      <c r="C58" s="58" t="s">
        <v>76</v>
      </c>
      <c r="E58" s="53">
        <v>0.75</v>
      </c>
      <c r="F58" s="52" t="s">
        <v>573</v>
      </c>
    </row>
    <row r="59" spans="2:6" ht="14.25" customHeight="1">
      <c r="B59" s="53">
        <v>0</v>
      </c>
      <c r="C59" s="58" t="s">
        <v>78</v>
      </c>
      <c r="E59" s="53">
        <v>0.5</v>
      </c>
      <c r="F59" s="52" t="s">
        <v>574</v>
      </c>
    </row>
    <row r="60" spans="2:6" ht="14.25" customHeight="1">
      <c r="E60" s="53">
        <v>0.25</v>
      </c>
      <c r="F60" s="52" t="s">
        <v>575</v>
      </c>
    </row>
    <row r="61" spans="2:6" ht="14.25" customHeight="1">
      <c r="B61" s="187" t="s">
        <v>53</v>
      </c>
      <c r="C61" s="187"/>
      <c r="E61" s="53">
        <v>0</v>
      </c>
      <c r="F61" s="52" t="s">
        <v>576</v>
      </c>
    </row>
    <row r="62" spans="2:6" ht="14.25" customHeight="1">
      <c r="B62" s="3" t="s">
        <v>50</v>
      </c>
      <c r="C62" s="3" t="s">
        <v>55</v>
      </c>
    </row>
    <row r="63" spans="2:6" ht="14.25" customHeight="1">
      <c r="B63" s="49">
        <v>1</v>
      </c>
      <c r="C63" s="52" t="s">
        <v>57</v>
      </c>
      <c r="E63" s="187" t="s">
        <v>577</v>
      </c>
      <c r="F63" s="187"/>
    </row>
    <row r="64" spans="2:6" ht="14.25" customHeight="1">
      <c r="B64" s="49">
        <v>0.75</v>
      </c>
      <c r="C64" s="52" t="s">
        <v>59</v>
      </c>
      <c r="E64" s="187" t="s">
        <v>578</v>
      </c>
      <c r="F64" s="187"/>
    </row>
    <row r="65" spans="2:6" ht="14.25" customHeight="1">
      <c r="B65" s="49">
        <v>0.5</v>
      </c>
      <c r="C65" s="52" t="s">
        <v>61</v>
      </c>
      <c r="E65" s="3" t="s">
        <v>79</v>
      </c>
      <c r="F65" s="3" t="s">
        <v>80</v>
      </c>
    </row>
    <row r="66" spans="2:6" ht="14.25" customHeight="1">
      <c r="B66" s="49">
        <v>0.25</v>
      </c>
      <c r="C66" s="52" t="s">
        <v>63</v>
      </c>
      <c r="E66" s="53">
        <v>1</v>
      </c>
      <c r="F66" s="52" t="s">
        <v>579</v>
      </c>
    </row>
    <row r="67" spans="2:6" ht="14.25" customHeight="1">
      <c r="B67" s="53">
        <v>0</v>
      </c>
      <c r="C67" s="52" t="s">
        <v>64</v>
      </c>
      <c r="E67" s="53">
        <v>0.75</v>
      </c>
      <c r="F67" s="52" t="s">
        <v>580</v>
      </c>
    </row>
    <row r="68" spans="2:6" ht="14.25" customHeight="1">
      <c r="E68" s="53">
        <v>0.5</v>
      </c>
      <c r="F68" s="52" t="s">
        <v>581</v>
      </c>
    </row>
    <row r="69" spans="2:6" ht="14.25" customHeight="1">
      <c r="B69" s="186" t="s">
        <v>582</v>
      </c>
      <c r="C69" s="186"/>
      <c r="E69" s="53">
        <v>0.25</v>
      </c>
      <c r="F69" s="52" t="s">
        <v>583</v>
      </c>
    </row>
    <row r="70" spans="2:6" ht="14.25" customHeight="1">
      <c r="B70" s="186" t="s">
        <v>584</v>
      </c>
      <c r="C70" s="186"/>
      <c r="E70" s="53">
        <v>0</v>
      </c>
      <c r="F70" s="52" t="s">
        <v>585</v>
      </c>
    </row>
    <row r="71" spans="2:6" ht="14.25" customHeight="1">
      <c r="B71" s="159" t="s">
        <v>79</v>
      </c>
      <c r="C71" s="159" t="s">
        <v>80</v>
      </c>
    </row>
    <row r="72" spans="2:6" ht="28.5" customHeight="1">
      <c r="B72" s="160">
        <v>1</v>
      </c>
      <c r="C72" s="161" t="s">
        <v>586</v>
      </c>
    </row>
    <row r="73" spans="2:6" ht="28.5" customHeight="1">
      <c r="B73" s="160">
        <v>0.75</v>
      </c>
      <c r="C73" s="161" t="s">
        <v>587</v>
      </c>
    </row>
    <row r="74" spans="2:6" ht="28.5" customHeight="1">
      <c r="B74" s="160">
        <v>0.5</v>
      </c>
      <c r="C74" s="161" t="s">
        <v>588</v>
      </c>
    </row>
    <row r="75" spans="2:6" ht="14.25" customHeight="1">
      <c r="B75" s="160">
        <v>0.25</v>
      </c>
      <c r="C75" s="161" t="s">
        <v>589</v>
      </c>
    </row>
    <row r="76" spans="2:6" ht="14.25" customHeight="1">
      <c r="B76" s="160">
        <v>0</v>
      </c>
      <c r="C76" s="161" t="s">
        <v>590</v>
      </c>
    </row>
    <row r="78" spans="2:6" ht="14.25" customHeight="1">
      <c r="B78" s="186" t="s">
        <v>591</v>
      </c>
      <c r="C78" s="186"/>
    </row>
    <row r="79" spans="2:6" ht="14.25" customHeight="1">
      <c r="B79" s="186" t="s">
        <v>592</v>
      </c>
      <c r="C79" s="186"/>
    </row>
    <row r="80" spans="2:6" ht="14.25" customHeight="1">
      <c r="B80" s="159" t="s">
        <v>79</v>
      </c>
      <c r="C80" s="159" t="s">
        <v>80</v>
      </c>
    </row>
    <row r="81" spans="2:3" ht="14.25" customHeight="1">
      <c r="B81" s="160">
        <v>1</v>
      </c>
      <c r="C81" s="161" t="s">
        <v>593</v>
      </c>
    </row>
    <row r="82" spans="2:3" ht="28.5" customHeight="1">
      <c r="B82" s="160">
        <v>0.75</v>
      </c>
      <c r="C82" s="161" t="s">
        <v>594</v>
      </c>
    </row>
    <row r="83" spans="2:3" ht="14.25" customHeight="1">
      <c r="B83" s="160">
        <v>0.5</v>
      </c>
      <c r="C83" s="161" t="s">
        <v>595</v>
      </c>
    </row>
    <row r="84" spans="2:3" ht="14.25" customHeight="1">
      <c r="B84" s="160">
        <v>0.25</v>
      </c>
      <c r="C84" s="161" t="s">
        <v>596</v>
      </c>
    </row>
    <row r="85" spans="2:3" ht="14.25" customHeight="1">
      <c r="B85" s="160">
        <v>0</v>
      </c>
      <c r="C85" s="161" t="s">
        <v>597</v>
      </c>
    </row>
  </sheetData>
  <mergeCells count="19">
    <mergeCell ref="H2:J2"/>
    <mergeCell ref="K2:M2"/>
    <mergeCell ref="B45:C45"/>
    <mergeCell ref="E45:F45"/>
    <mergeCell ref="B53:C53"/>
    <mergeCell ref="B2:B3"/>
    <mergeCell ref="D2:D3"/>
    <mergeCell ref="E2:E3"/>
    <mergeCell ref="F2:F3"/>
    <mergeCell ref="G2:G3"/>
    <mergeCell ref="B69:C69"/>
    <mergeCell ref="B70:C70"/>
    <mergeCell ref="B78:C78"/>
    <mergeCell ref="B79:C79"/>
    <mergeCell ref="E54:F54"/>
    <mergeCell ref="E55:F55"/>
    <mergeCell ref="B61:C61"/>
    <mergeCell ref="E63:F63"/>
    <mergeCell ref="E64:F6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11"/>
  <sheetViews>
    <sheetView topLeftCell="A97" zoomScale="59" zoomScaleNormal="59" workbookViewId="0">
      <selection activeCell="E108" sqref="E108"/>
    </sheetView>
  </sheetViews>
  <sheetFormatPr defaultColWidth="11.42578125" defaultRowHeight="14.45"/>
  <cols>
    <col min="2" max="2" width="41.5703125" customWidth="1"/>
    <col min="3" max="3" width="20.140625" customWidth="1"/>
    <col min="4" max="4" width="15.5703125" customWidth="1"/>
    <col min="5" max="5" width="24.5703125" customWidth="1"/>
    <col min="6" max="6" width="27.5703125" customWidth="1"/>
    <col min="7" max="7" width="26" customWidth="1"/>
    <col min="9" max="9" width="18.140625" customWidth="1"/>
    <col min="10" max="10" width="15.140625" customWidth="1"/>
    <col min="12" max="12" width="18.7109375" customWidth="1"/>
    <col min="13" max="13" width="15.140625" customWidth="1"/>
  </cols>
  <sheetData>
    <row r="2" spans="2:13" ht="15" customHeight="1">
      <c r="B2" s="209" t="s">
        <v>598</v>
      </c>
      <c r="C2" s="162" t="s">
        <v>25</v>
      </c>
      <c r="D2" s="210" t="s">
        <v>115</v>
      </c>
      <c r="E2" s="210" t="s">
        <v>116</v>
      </c>
      <c r="F2" s="210" t="s">
        <v>117</v>
      </c>
      <c r="G2" s="211" t="s">
        <v>118</v>
      </c>
      <c r="H2" s="208" t="s">
        <v>119</v>
      </c>
      <c r="I2" s="208"/>
      <c r="J2" s="208"/>
      <c r="K2" s="208" t="s">
        <v>120</v>
      </c>
      <c r="L2" s="208"/>
      <c r="M2" s="208"/>
    </row>
    <row r="3" spans="2:13" ht="22.5" customHeight="1">
      <c r="B3" s="209"/>
      <c r="C3" s="164">
        <v>0.2</v>
      </c>
      <c r="D3" s="210"/>
      <c r="E3" s="210"/>
      <c r="F3" s="210"/>
      <c r="G3" s="210"/>
      <c r="H3" s="165" t="s">
        <v>50</v>
      </c>
      <c r="I3" s="166" t="s">
        <v>121</v>
      </c>
      <c r="J3" s="166" t="s">
        <v>122</v>
      </c>
      <c r="K3" s="165" t="s">
        <v>50</v>
      </c>
      <c r="L3" s="166" t="s">
        <v>121</v>
      </c>
      <c r="M3" s="166" t="s">
        <v>122</v>
      </c>
    </row>
    <row r="4" spans="2:13" ht="15" customHeight="1">
      <c r="B4" s="167" t="s">
        <v>599</v>
      </c>
      <c r="C4" s="168">
        <v>0.25</v>
      </c>
      <c r="D4" s="168">
        <f>C3*C4</f>
        <v>0.05</v>
      </c>
      <c r="E4" s="163"/>
      <c r="F4" s="169"/>
      <c r="G4" s="169"/>
      <c r="H4" s="169"/>
      <c r="I4" s="170">
        <f>SUM(I5+I9+I12)*C4</f>
        <v>0.24302361187499999</v>
      </c>
      <c r="J4" s="170">
        <f>SUM(J5+J9+J12)</f>
        <v>4.8604722374999992E-2</v>
      </c>
      <c r="K4" s="170"/>
      <c r="L4" s="170">
        <f>SUM(L5+L9+L12)*C4</f>
        <v>0.21524930624999999</v>
      </c>
      <c r="M4" s="170">
        <f>SUM(M5+M9+M12)</f>
        <v>4.3049861250000002E-2</v>
      </c>
    </row>
    <row r="5" spans="2:13" ht="24" customHeight="1">
      <c r="B5" s="171" t="s">
        <v>600</v>
      </c>
      <c r="C5" s="172">
        <v>0.33329999999999999</v>
      </c>
      <c r="D5" s="172">
        <f>C3*C4*C5</f>
        <v>1.6664999999999999E-2</v>
      </c>
      <c r="E5" s="173"/>
      <c r="F5" s="173"/>
      <c r="G5" s="173"/>
      <c r="H5" s="174"/>
      <c r="I5" s="175">
        <f>SUM(I6:I8)*C5</f>
        <v>0.30549444749999993</v>
      </c>
      <c r="J5" s="175">
        <f>SUM(J6:J8)</f>
        <v>1.5274722374999997E-2</v>
      </c>
      <c r="K5" s="174"/>
      <c r="L5" s="175">
        <f>SUM(L6:L8)*C5</f>
        <v>0.27772222499999999</v>
      </c>
      <c r="M5" s="175">
        <f>SUM(M6:M8)</f>
        <v>1.3886111249999999E-2</v>
      </c>
    </row>
    <row r="6" spans="2:13" ht="96.75" customHeight="1">
      <c r="B6" s="97" t="s">
        <v>601</v>
      </c>
      <c r="C6" s="104">
        <v>0.33329999999999999</v>
      </c>
      <c r="D6" s="104">
        <f>C3*C4*C5*C6</f>
        <v>5.5544444999999993E-3</v>
      </c>
      <c r="E6" s="97" t="s">
        <v>602</v>
      </c>
      <c r="F6" s="97" t="s">
        <v>603</v>
      </c>
      <c r="G6" s="97" t="s">
        <v>604</v>
      </c>
      <c r="H6" s="104">
        <v>0.75</v>
      </c>
      <c r="I6" s="101">
        <f>H6*C6</f>
        <v>0.249975</v>
      </c>
      <c r="J6" s="101">
        <f>I6*D5</f>
        <v>4.1658333749999997E-3</v>
      </c>
      <c r="K6" s="104">
        <v>0.75</v>
      </c>
      <c r="L6" s="101">
        <f>K6*C6</f>
        <v>0.249975</v>
      </c>
      <c r="M6" s="101">
        <f>L6*D5</f>
        <v>4.1658333749999997E-3</v>
      </c>
    </row>
    <row r="7" spans="2:13" ht="98.25" customHeight="1">
      <c r="B7" s="97" t="s">
        <v>605</v>
      </c>
      <c r="C7" s="104">
        <v>0.33329999999999999</v>
      </c>
      <c r="D7" s="104">
        <f>C3*C4*C5*C7</f>
        <v>5.5544444999999993E-3</v>
      </c>
      <c r="E7" s="97" t="s">
        <v>606</v>
      </c>
      <c r="F7" s="176" t="s">
        <v>607</v>
      </c>
      <c r="G7" s="176" t="s">
        <v>608</v>
      </c>
      <c r="H7" s="104">
        <v>1</v>
      </c>
      <c r="I7" s="101">
        <f>H7*C7</f>
        <v>0.33329999999999999</v>
      </c>
      <c r="J7" s="101">
        <f>I7*D5</f>
        <v>5.5544444999999993E-3</v>
      </c>
      <c r="K7" s="104">
        <v>1</v>
      </c>
      <c r="L7" s="101">
        <f>K7*C7</f>
        <v>0.33329999999999999</v>
      </c>
      <c r="M7" s="101">
        <f>L7*D5</f>
        <v>5.5544444999999993E-3</v>
      </c>
    </row>
    <row r="8" spans="2:13" ht="117" customHeight="1">
      <c r="B8" s="97" t="s">
        <v>609</v>
      </c>
      <c r="C8" s="104">
        <v>0.33329999999999999</v>
      </c>
      <c r="D8" s="104">
        <f>C3*C4*C5*C8</f>
        <v>5.5544444999999993E-3</v>
      </c>
      <c r="E8" s="97" t="s">
        <v>610</v>
      </c>
      <c r="F8" s="97" t="s">
        <v>611</v>
      </c>
      <c r="G8" s="97" t="s">
        <v>612</v>
      </c>
      <c r="H8" s="104">
        <v>1</v>
      </c>
      <c r="I8" s="101">
        <f>H8*C8</f>
        <v>0.33329999999999999</v>
      </c>
      <c r="J8" s="104">
        <f>I8*D5</f>
        <v>5.5544444999999993E-3</v>
      </c>
      <c r="K8" s="104">
        <v>0.75</v>
      </c>
      <c r="L8" s="101">
        <f>K8*C8</f>
        <v>0.249975</v>
      </c>
      <c r="M8" s="104">
        <f>L8*D5</f>
        <v>4.1658333749999997E-3</v>
      </c>
    </row>
    <row r="9" spans="2:13" ht="13.5" customHeight="1">
      <c r="B9" s="171" t="s">
        <v>613</v>
      </c>
      <c r="C9" s="172">
        <v>0.33329999999999999</v>
      </c>
      <c r="D9" s="172">
        <f>C3*C4*C9</f>
        <v>1.6664999999999999E-2</v>
      </c>
      <c r="E9" s="173"/>
      <c r="F9" s="173"/>
      <c r="G9" s="173"/>
      <c r="H9" s="174"/>
      <c r="I9" s="175">
        <f>SUM(I10:I11)*C9</f>
        <v>0.33329999999999999</v>
      </c>
      <c r="J9" s="175">
        <f>SUM(J10:J11)</f>
        <v>1.6664999999999999E-2</v>
      </c>
      <c r="K9" s="174"/>
      <c r="L9" s="175">
        <f>SUM(L10:L11)*C9</f>
        <v>0.33329999999999999</v>
      </c>
      <c r="M9" s="175">
        <f>SUM(M10:M11)</f>
        <v>1.6664999999999999E-2</v>
      </c>
    </row>
    <row r="10" spans="2:13" ht="100.5" customHeight="1">
      <c r="B10" s="97" t="s">
        <v>614</v>
      </c>
      <c r="C10" s="104">
        <v>0.5</v>
      </c>
      <c r="D10" s="104">
        <f>C3*C4*C9*C10</f>
        <v>8.3324999999999996E-3</v>
      </c>
      <c r="E10" s="97" t="s">
        <v>615</v>
      </c>
      <c r="F10" s="176" t="s">
        <v>616</v>
      </c>
      <c r="G10" s="176" t="s">
        <v>617</v>
      </c>
      <c r="H10" s="104">
        <v>1</v>
      </c>
      <c r="I10" s="101">
        <f>H10*C10</f>
        <v>0.5</v>
      </c>
      <c r="J10" s="101">
        <f>I10*D9</f>
        <v>8.3324999999999996E-3</v>
      </c>
      <c r="K10" s="104">
        <v>1</v>
      </c>
      <c r="L10" s="101">
        <f>K10*C10</f>
        <v>0.5</v>
      </c>
      <c r="M10" s="101">
        <f>L10*D9</f>
        <v>8.3324999999999996E-3</v>
      </c>
    </row>
    <row r="11" spans="2:13" ht="94.5" customHeight="1">
      <c r="B11" s="97" t="s">
        <v>618</v>
      </c>
      <c r="C11" s="104">
        <v>0.5</v>
      </c>
      <c r="D11" s="104">
        <f>C3*C4*C9*C11</f>
        <v>8.3324999999999996E-3</v>
      </c>
      <c r="E11" s="97" t="s">
        <v>619</v>
      </c>
      <c r="F11" s="97" t="s">
        <v>620</v>
      </c>
      <c r="G11" s="97" t="s">
        <v>621</v>
      </c>
      <c r="H11" s="104">
        <v>1</v>
      </c>
      <c r="I11" s="101">
        <f>H11*C11</f>
        <v>0.5</v>
      </c>
      <c r="J11" s="101">
        <f>I11*D9</f>
        <v>8.3324999999999996E-3</v>
      </c>
      <c r="K11" s="104">
        <v>1</v>
      </c>
      <c r="L11" s="101">
        <f>K11*C11</f>
        <v>0.5</v>
      </c>
      <c r="M11" s="101">
        <f>L11*D9</f>
        <v>8.3324999999999996E-3</v>
      </c>
    </row>
    <row r="12" spans="2:13" ht="30.75" customHeight="1">
      <c r="B12" s="171" t="s">
        <v>622</v>
      </c>
      <c r="C12" s="177">
        <v>0.33329999999999999</v>
      </c>
      <c r="D12" s="177">
        <f>C3*C4*C12</f>
        <v>1.6664999999999999E-2</v>
      </c>
      <c r="E12" s="173"/>
      <c r="F12" s="173"/>
      <c r="G12" s="173"/>
      <c r="H12" s="174"/>
      <c r="I12" s="175">
        <f>SUM(I13:I14)*C12</f>
        <v>0.33329999999999999</v>
      </c>
      <c r="J12" s="174">
        <f>SUM(J13:J14)</f>
        <v>1.6664999999999999E-2</v>
      </c>
      <c r="K12" s="174"/>
      <c r="L12" s="175">
        <f>SUM(L13:L14)*C12</f>
        <v>0.249975</v>
      </c>
      <c r="M12" s="174">
        <f>SUM(M13:M14)</f>
        <v>1.2498749999999999E-2</v>
      </c>
    </row>
    <row r="13" spans="2:13" ht="111.75" customHeight="1">
      <c r="B13" s="109" t="s">
        <v>623</v>
      </c>
      <c r="C13" s="104">
        <v>0.5</v>
      </c>
      <c r="D13" s="104">
        <f>'Matriz Técnica'!C3*'Matriz Técnica'!C32*'Matriz Técnica'!C45*C13</f>
        <v>2.6250000000000002E-3</v>
      </c>
      <c r="E13" s="110" t="s">
        <v>624</v>
      </c>
      <c r="F13" s="110" t="s">
        <v>625</v>
      </c>
      <c r="G13" s="110" t="s">
        <v>626</v>
      </c>
      <c r="H13" s="116">
        <v>1</v>
      </c>
      <c r="I13" s="101">
        <f>H13*C13</f>
        <v>0.5</v>
      </c>
      <c r="J13" s="101">
        <f>I13*D12</f>
        <v>8.3324999999999996E-3</v>
      </c>
      <c r="K13" s="116">
        <v>0.75</v>
      </c>
      <c r="L13" s="101">
        <f>K13*C13</f>
        <v>0.375</v>
      </c>
      <c r="M13" s="101">
        <f>L13*D12</f>
        <v>6.2493749999999997E-3</v>
      </c>
    </row>
    <row r="14" spans="2:13" ht="97.5" customHeight="1">
      <c r="B14" s="109" t="s">
        <v>627</v>
      </c>
      <c r="C14" s="104">
        <v>0.5</v>
      </c>
      <c r="D14" s="104">
        <f>'Matriz Técnica'!C3*'Matriz Técnica'!C32*'Matriz Técnica'!C45*C14</f>
        <v>2.6250000000000002E-3</v>
      </c>
      <c r="E14" s="110" t="s">
        <v>628</v>
      </c>
      <c r="F14" s="110" t="s">
        <v>629</v>
      </c>
      <c r="G14" s="110" t="s">
        <v>630</v>
      </c>
      <c r="H14" s="116">
        <v>1</v>
      </c>
      <c r="I14" s="101">
        <f>H14*C14</f>
        <v>0.5</v>
      </c>
      <c r="J14" s="101">
        <f>I14*D12</f>
        <v>8.3324999999999996E-3</v>
      </c>
      <c r="K14" s="116">
        <v>0.75</v>
      </c>
      <c r="L14" s="101">
        <f>K14*C14</f>
        <v>0.375</v>
      </c>
      <c r="M14" s="101">
        <f>L14*D12</f>
        <v>6.2493749999999997E-3</v>
      </c>
    </row>
    <row r="15" spans="2:13" ht="27.75" customHeight="1">
      <c r="B15" s="167" t="s">
        <v>631</v>
      </c>
      <c r="C15" s="168">
        <v>0.3</v>
      </c>
      <c r="D15" s="168">
        <f>C3*C15</f>
        <v>0.06</v>
      </c>
      <c r="E15" s="163"/>
      <c r="F15" s="163"/>
      <c r="G15" s="163"/>
      <c r="H15" s="170"/>
      <c r="I15" s="170">
        <f>SUM(I16+I20)*C15</f>
        <v>0.28499999999999998</v>
      </c>
      <c r="J15" s="170">
        <f>SUM(J16+J20)</f>
        <v>5.6999999999999995E-2</v>
      </c>
      <c r="K15" s="170"/>
      <c r="L15" s="170">
        <f>SUM(L16+L20)*C15</f>
        <v>0.28499999999999998</v>
      </c>
      <c r="M15" s="170">
        <f>SUM(M16+M20)</f>
        <v>5.6999999999999995E-2</v>
      </c>
    </row>
    <row r="16" spans="2:13" ht="32.25" customHeight="1">
      <c r="B16" s="171" t="s">
        <v>632</v>
      </c>
      <c r="C16" s="172">
        <v>0.6</v>
      </c>
      <c r="D16" s="172">
        <f>C3*C15*C16</f>
        <v>3.5999999999999997E-2</v>
      </c>
      <c r="E16" s="173"/>
      <c r="F16" s="173"/>
      <c r="G16" s="173"/>
      <c r="H16" s="174"/>
      <c r="I16" s="175">
        <f>SUM(I17:I19)*C16</f>
        <v>0.6</v>
      </c>
      <c r="J16" s="175">
        <f>SUM(J17:J19)</f>
        <v>3.5999999999999997E-2</v>
      </c>
      <c r="K16" s="174"/>
      <c r="L16" s="175">
        <f>SUM(L17:L19)*C16</f>
        <v>0.6</v>
      </c>
      <c r="M16" s="175">
        <f>SUM(M17:M19)</f>
        <v>3.5999999999999997E-2</v>
      </c>
    </row>
    <row r="17" spans="2:13" ht="108.75" customHeight="1">
      <c r="B17" s="97" t="s">
        <v>633</v>
      </c>
      <c r="C17" s="104">
        <v>0.33329999999999999</v>
      </c>
      <c r="D17" s="104">
        <f>C3*C15*C16*C17</f>
        <v>1.1998799999999999E-2</v>
      </c>
      <c r="E17" s="97" t="s">
        <v>634</v>
      </c>
      <c r="F17" s="110" t="s">
        <v>635</v>
      </c>
      <c r="G17" s="110" t="s">
        <v>636</v>
      </c>
      <c r="H17" s="104">
        <f>(H18*C18+H19*C19)/(C18+C19)</f>
        <v>1</v>
      </c>
      <c r="I17" s="101">
        <f>H17*C17</f>
        <v>0.33329999999999999</v>
      </c>
      <c r="J17" s="101">
        <f>I17*D16</f>
        <v>1.1998799999999999E-2</v>
      </c>
      <c r="K17" s="104">
        <f>(K18*C18+K19*C19)/(C18+C19)</f>
        <v>1</v>
      </c>
      <c r="L17" s="101">
        <f>K17*C17</f>
        <v>0.33329999999999999</v>
      </c>
      <c r="M17" s="101">
        <f>L17*D16</f>
        <v>1.1998799999999999E-2</v>
      </c>
    </row>
    <row r="18" spans="2:13" ht="106.5" customHeight="1">
      <c r="B18" s="97" t="s">
        <v>637</v>
      </c>
      <c r="C18" s="104">
        <v>0.33329999999999999</v>
      </c>
      <c r="D18" s="104">
        <f>C3*C15*C16*C18</f>
        <v>1.1998799999999999E-2</v>
      </c>
      <c r="E18" s="97" t="s">
        <v>638</v>
      </c>
      <c r="F18" s="97" t="s">
        <v>639</v>
      </c>
      <c r="G18" s="97" t="s">
        <v>640</v>
      </c>
      <c r="H18" s="104">
        <v>1</v>
      </c>
      <c r="I18" s="101">
        <f>H18*C18</f>
        <v>0.33329999999999999</v>
      </c>
      <c r="J18" s="101">
        <f>I18*D16</f>
        <v>1.1998799999999999E-2</v>
      </c>
      <c r="K18" s="104">
        <v>1</v>
      </c>
      <c r="L18" s="101">
        <f>K18*C18</f>
        <v>0.33329999999999999</v>
      </c>
      <c r="M18" s="101">
        <f>L18*D16</f>
        <v>1.1998799999999999E-2</v>
      </c>
    </row>
    <row r="19" spans="2:13" ht="104.25" customHeight="1">
      <c r="B19" s="97" t="s">
        <v>641</v>
      </c>
      <c r="C19" s="104">
        <v>0.33339999999999997</v>
      </c>
      <c r="D19" s="104">
        <f>C3*C15*C16*C19</f>
        <v>1.2002399999999998E-2</v>
      </c>
      <c r="E19" s="97" t="s">
        <v>642</v>
      </c>
      <c r="F19" s="97" t="s">
        <v>643</v>
      </c>
      <c r="G19" s="97" t="s">
        <v>644</v>
      </c>
      <c r="H19" s="104">
        <v>1</v>
      </c>
      <c r="I19" s="101">
        <f>H19*C19</f>
        <v>0.33339999999999997</v>
      </c>
      <c r="J19" s="104">
        <f>I19*D16</f>
        <v>1.2002399999999998E-2</v>
      </c>
      <c r="K19" s="104">
        <v>1</v>
      </c>
      <c r="L19" s="101">
        <f>K19*C19</f>
        <v>0.33339999999999997</v>
      </c>
      <c r="M19" s="104">
        <f>L19*D16</f>
        <v>1.2002399999999998E-2</v>
      </c>
    </row>
    <row r="20" spans="2:13" ht="15" customHeight="1">
      <c r="B20" s="171" t="s">
        <v>645</v>
      </c>
      <c r="C20" s="172">
        <v>0.4</v>
      </c>
      <c r="D20" s="172">
        <f>C3*C15*C20</f>
        <v>2.4E-2</v>
      </c>
      <c r="E20" s="173"/>
      <c r="F20" s="178"/>
      <c r="G20" s="178"/>
      <c r="H20" s="174"/>
      <c r="I20" s="175">
        <f>SUM(I21:I22)*C20</f>
        <v>0.35000000000000003</v>
      </c>
      <c r="J20" s="175">
        <f>SUM(J21:J22)</f>
        <v>2.1000000000000001E-2</v>
      </c>
      <c r="K20" s="174"/>
      <c r="L20" s="175">
        <f>SUM(L21:L22)*C20</f>
        <v>0.35000000000000003</v>
      </c>
      <c r="M20" s="175">
        <f>SUM(M21:M22)</f>
        <v>2.1000000000000001E-2</v>
      </c>
    </row>
    <row r="21" spans="2:13" ht="113.25" customHeight="1">
      <c r="B21" s="97" t="s">
        <v>646</v>
      </c>
      <c r="C21" s="104">
        <v>0.5</v>
      </c>
      <c r="D21" s="104">
        <f>C3*C15*C20*C21</f>
        <v>1.2E-2</v>
      </c>
      <c r="E21" s="97" t="s">
        <v>647</v>
      </c>
      <c r="F21" s="97" t="s">
        <v>648</v>
      </c>
      <c r="G21" s="97" t="s">
        <v>649</v>
      </c>
      <c r="H21" s="104">
        <v>0.75</v>
      </c>
      <c r="I21" s="101">
        <f>H21*C21</f>
        <v>0.375</v>
      </c>
      <c r="J21" s="101">
        <f>I21*D20</f>
        <v>9.0000000000000011E-3</v>
      </c>
      <c r="K21" s="104">
        <v>0.75</v>
      </c>
      <c r="L21" s="101">
        <f>K21*C21</f>
        <v>0.375</v>
      </c>
      <c r="M21" s="101">
        <f>L21*D20</f>
        <v>9.0000000000000011E-3</v>
      </c>
    </row>
    <row r="22" spans="2:13" ht="117.75" customHeight="1">
      <c r="B22" s="97" t="s">
        <v>650</v>
      </c>
      <c r="C22" s="104">
        <v>0.5</v>
      </c>
      <c r="D22" s="104">
        <f>C3*C15*C20*C22</f>
        <v>1.2E-2</v>
      </c>
      <c r="E22" s="97" t="s">
        <v>651</v>
      </c>
      <c r="F22" s="97" t="s">
        <v>652</v>
      </c>
      <c r="G22" s="97" t="s">
        <v>653</v>
      </c>
      <c r="H22" s="104">
        <v>1</v>
      </c>
      <c r="I22" s="101">
        <f>H22*C22</f>
        <v>0.5</v>
      </c>
      <c r="J22" s="101">
        <f>I22*D20</f>
        <v>1.2E-2</v>
      </c>
      <c r="K22" s="104">
        <v>1</v>
      </c>
      <c r="L22" s="101">
        <f>K22*C22</f>
        <v>0.5</v>
      </c>
      <c r="M22" s="101">
        <f>L22*D20</f>
        <v>1.2E-2</v>
      </c>
    </row>
    <row r="23" spans="2:13" ht="15" customHeight="1">
      <c r="B23" s="167" t="s">
        <v>654</v>
      </c>
      <c r="C23" s="168">
        <v>0.15</v>
      </c>
      <c r="D23" s="168">
        <f>C3*C23</f>
        <v>0.03</v>
      </c>
      <c r="E23" s="166"/>
      <c r="F23" s="169"/>
      <c r="G23" s="169"/>
      <c r="H23" s="170"/>
      <c r="I23" s="170">
        <f>SUM(I24+I28)*C23</f>
        <v>0.1499925</v>
      </c>
      <c r="J23" s="170">
        <f>SUM(J24+J28)</f>
        <v>2.9998499999999997E-2</v>
      </c>
      <c r="K23" s="170"/>
      <c r="L23" s="170">
        <f>SUM(L24+L28)*C23</f>
        <v>0.11249437499999999</v>
      </c>
      <c r="M23" s="170">
        <f>SUM(M24+M28)</f>
        <v>2.2498875000000002E-2</v>
      </c>
    </row>
    <row r="24" spans="2:13" ht="15" customHeight="1">
      <c r="B24" s="171" t="s">
        <v>655</v>
      </c>
      <c r="C24" s="172">
        <v>0.5</v>
      </c>
      <c r="D24" s="172">
        <f>C3*C23*C24</f>
        <v>1.4999999999999999E-2</v>
      </c>
      <c r="E24" s="178"/>
      <c r="F24" s="178"/>
      <c r="G24" s="178"/>
      <c r="H24" s="174"/>
      <c r="I24" s="175">
        <f>SUM(I25:I27)*C24</f>
        <v>0.49995000000000001</v>
      </c>
      <c r="J24" s="175">
        <f>SUM(J25:J27)</f>
        <v>1.4998499999999998E-2</v>
      </c>
      <c r="K24" s="174"/>
      <c r="L24" s="175">
        <f>SUM(L25:L27)*C24</f>
        <v>0.37496249999999998</v>
      </c>
      <c r="M24" s="175">
        <f>SUM(M25:M27)</f>
        <v>1.1248875E-2</v>
      </c>
    </row>
    <row r="25" spans="2:13" ht="97.5" customHeight="1">
      <c r="B25" s="97" t="s">
        <v>656</v>
      </c>
      <c r="C25" s="104">
        <v>0.33329999999999999</v>
      </c>
      <c r="D25" s="104">
        <f>C3*C23*C24*C25</f>
        <v>4.9994999999999996E-3</v>
      </c>
      <c r="E25" s="176" t="s">
        <v>657</v>
      </c>
      <c r="F25" s="110" t="s">
        <v>658</v>
      </c>
      <c r="G25" s="110" t="s">
        <v>659</v>
      </c>
      <c r="H25" s="116">
        <v>1</v>
      </c>
      <c r="I25" s="101">
        <f>H25*C25</f>
        <v>0.33329999999999999</v>
      </c>
      <c r="J25" s="101">
        <f>I25*D24</f>
        <v>4.9994999999999996E-3</v>
      </c>
      <c r="K25" s="116">
        <v>0.75</v>
      </c>
      <c r="L25" s="101">
        <f>K25*C25</f>
        <v>0.249975</v>
      </c>
      <c r="M25" s="101">
        <f>L25*D24</f>
        <v>3.7496249999999999E-3</v>
      </c>
    </row>
    <row r="26" spans="2:13" ht="97.5" customHeight="1">
      <c r="B26" s="97" t="s">
        <v>660</v>
      </c>
      <c r="C26" s="104">
        <v>0.33329999999999999</v>
      </c>
      <c r="D26" s="104">
        <f>C3*C23*C24*C26</f>
        <v>4.9994999999999996E-3</v>
      </c>
      <c r="E26" s="176" t="s">
        <v>661</v>
      </c>
      <c r="F26" s="110" t="s">
        <v>662</v>
      </c>
      <c r="G26" s="110" t="s">
        <v>663</v>
      </c>
      <c r="H26" s="116">
        <v>1</v>
      </c>
      <c r="I26" s="101">
        <f>H26*C26</f>
        <v>0.33329999999999999</v>
      </c>
      <c r="J26" s="101">
        <f>I26*D24</f>
        <v>4.9994999999999996E-3</v>
      </c>
      <c r="K26" s="116">
        <v>0.75</v>
      </c>
      <c r="L26" s="101">
        <f>K26*C26</f>
        <v>0.249975</v>
      </c>
      <c r="M26" s="101">
        <f>L26*D24</f>
        <v>3.7496249999999999E-3</v>
      </c>
    </row>
    <row r="27" spans="2:13" ht="97.5" customHeight="1">
      <c r="B27" s="97" t="s">
        <v>664</v>
      </c>
      <c r="C27" s="104">
        <v>0.33329999999999999</v>
      </c>
      <c r="D27" s="104">
        <f>C3*C23*C24*C27</f>
        <v>4.9994999999999996E-3</v>
      </c>
      <c r="E27" s="110" t="s">
        <v>665</v>
      </c>
      <c r="F27" s="110" t="s">
        <v>666</v>
      </c>
      <c r="G27" s="110" t="s">
        <v>667</v>
      </c>
      <c r="H27" s="116">
        <v>1</v>
      </c>
      <c r="I27" s="101">
        <f>H27*C27</f>
        <v>0.33329999999999999</v>
      </c>
      <c r="J27" s="104">
        <f>I27*D24</f>
        <v>4.9994999999999996E-3</v>
      </c>
      <c r="K27" s="116">
        <v>0.75</v>
      </c>
      <c r="L27" s="101">
        <f>K27*C27</f>
        <v>0.249975</v>
      </c>
      <c r="M27" s="104">
        <f>L27*D24</f>
        <v>3.7496249999999999E-3</v>
      </c>
    </row>
    <row r="28" spans="2:13" ht="14.25" customHeight="1">
      <c r="B28" s="171" t="s">
        <v>668</v>
      </c>
      <c r="C28" s="172">
        <v>0.5</v>
      </c>
      <c r="D28" s="172">
        <f>C3*C23*C28</f>
        <v>1.4999999999999999E-2</v>
      </c>
      <c r="E28" s="178"/>
      <c r="F28" s="178"/>
      <c r="G28" s="178"/>
      <c r="H28" s="174"/>
      <c r="I28" s="175">
        <f>SUM(I29:I30)*C28</f>
        <v>0.5</v>
      </c>
      <c r="J28" s="175">
        <f>SUM(J29:J30)</f>
        <v>1.4999999999999999E-2</v>
      </c>
      <c r="K28" s="174"/>
      <c r="L28" s="175">
        <f>SUM(L29:L30)*C28</f>
        <v>0.375</v>
      </c>
      <c r="M28" s="175">
        <f>SUM(M29:M30)</f>
        <v>1.125E-2</v>
      </c>
    </row>
    <row r="29" spans="2:13" ht="111.75" customHeight="1">
      <c r="B29" s="97" t="s">
        <v>669</v>
      </c>
      <c r="C29" s="104">
        <v>0.5</v>
      </c>
      <c r="D29" s="104">
        <f>C3*C23*C28*C29</f>
        <v>7.4999999999999997E-3</v>
      </c>
      <c r="E29" s="110" t="s">
        <v>670</v>
      </c>
      <c r="F29" s="110" t="s">
        <v>671</v>
      </c>
      <c r="G29" s="110" t="s">
        <v>672</v>
      </c>
      <c r="H29" s="116">
        <v>1</v>
      </c>
      <c r="I29" s="101">
        <f>H29*C29</f>
        <v>0.5</v>
      </c>
      <c r="J29" s="101">
        <f>I29*D28</f>
        <v>7.4999999999999997E-3</v>
      </c>
      <c r="K29" s="116">
        <v>0.75</v>
      </c>
      <c r="L29" s="101">
        <f>K29*C29</f>
        <v>0.375</v>
      </c>
      <c r="M29" s="101">
        <f>L29*D28</f>
        <v>5.6249999999999998E-3</v>
      </c>
    </row>
    <row r="30" spans="2:13" ht="111.75" customHeight="1">
      <c r="B30" s="97" t="s">
        <v>673</v>
      </c>
      <c r="C30" s="104">
        <v>0.5</v>
      </c>
      <c r="D30" s="104">
        <f>C3*C23*C28*C30</f>
        <v>7.4999999999999997E-3</v>
      </c>
      <c r="E30" s="110" t="s">
        <v>674</v>
      </c>
      <c r="F30" s="110" t="s">
        <v>675</v>
      </c>
      <c r="G30" s="110" t="s">
        <v>676</v>
      </c>
      <c r="H30" s="116">
        <v>1</v>
      </c>
      <c r="I30" s="101">
        <f>H30*C30</f>
        <v>0.5</v>
      </c>
      <c r="J30" s="101">
        <f>I30*D28</f>
        <v>7.4999999999999997E-3</v>
      </c>
      <c r="K30" s="116">
        <v>0.75</v>
      </c>
      <c r="L30" s="101">
        <f>K30*C30</f>
        <v>0.375</v>
      </c>
      <c r="M30" s="101">
        <f>L30*D28</f>
        <v>5.6249999999999998E-3</v>
      </c>
    </row>
    <row r="31" spans="2:13" ht="14.25" customHeight="1">
      <c r="B31" s="167" t="s">
        <v>677</v>
      </c>
      <c r="C31" s="168">
        <v>0.2</v>
      </c>
      <c r="D31" s="168">
        <f>C3*C31</f>
        <v>4.0000000000000008E-2</v>
      </c>
      <c r="E31" s="169"/>
      <c r="F31" s="169"/>
      <c r="G31" s="169"/>
      <c r="H31" s="170"/>
      <c r="I31" s="170">
        <f>SUM(I32+I36)*C31</f>
        <v>0.18332500000000002</v>
      </c>
      <c r="J31" s="170">
        <f>SUM(J32+J36)</f>
        <v>3.6665000000000003E-2</v>
      </c>
      <c r="K31" s="170"/>
      <c r="L31" s="170">
        <f>SUM(L32+L36)*C31</f>
        <v>0.170825</v>
      </c>
      <c r="M31" s="170">
        <f>SUM(M32+M36)</f>
        <v>3.4165000000000001E-2</v>
      </c>
    </row>
    <row r="32" spans="2:13" ht="14.25" customHeight="1">
      <c r="B32" s="171" t="s">
        <v>678</v>
      </c>
      <c r="C32" s="172">
        <v>0.5</v>
      </c>
      <c r="D32" s="172">
        <f>C3*C31*C32</f>
        <v>2.0000000000000004E-2</v>
      </c>
      <c r="E32" s="178"/>
      <c r="F32" s="178"/>
      <c r="G32" s="178"/>
      <c r="H32" s="174"/>
      <c r="I32" s="175">
        <f>SUM(I33:I35)*C32</f>
        <v>0.41662500000000002</v>
      </c>
      <c r="J32" s="175">
        <f>SUM(J33:J35)</f>
        <v>1.6665000000000003E-2</v>
      </c>
      <c r="K32" s="174"/>
      <c r="L32" s="175">
        <f>SUM(L33:L35)*C32</f>
        <v>0.41662500000000002</v>
      </c>
      <c r="M32" s="175">
        <f>SUM(M33:M35)</f>
        <v>1.6665000000000003E-2</v>
      </c>
    </row>
    <row r="33" spans="2:13" ht="97.5" customHeight="1">
      <c r="B33" s="97" t="s">
        <v>679</v>
      </c>
      <c r="C33" s="104">
        <v>0.33329999999999999</v>
      </c>
      <c r="D33" s="104">
        <f>C3*C31*C32*C33</f>
        <v>6.6660000000000009E-3</v>
      </c>
      <c r="E33" s="110" t="s">
        <v>680</v>
      </c>
      <c r="F33" s="110" t="s">
        <v>681</v>
      </c>
      <c r="G33" s="110" t="s">
        <v>682</v>
      </c>
      <c r="H33" s="116">
        <v>0.75</v>
      </c>
      <c r="I33" s="101">
        <f>H33*C33</f>
        <v>0.249975</v>
      </c>
      <c r="J33" s="101">
        <f>I33*D32</f>
        <v>4.9995000000000013E-3</v>
      </c>
      <c r="K33" s="116">
        <v>0.75</v>
      </c>
      <c r="L33" s="101">
        <f>K33*C33</f>
        <v>0.249975</v>
      </c>
      <c r="M33" s="101">
        <f>L33*D32</f>
        <v>4.9995000000000013E-3</v>
      </c>
    </row>
    <row r="34" spans="2:13" ht="97.5" customHeight="1">
      <c r="B34" s="97" t="s">
        <v>683</v>
      </c>
      <c r="C34" s="104">
        <v>0.33329999999999999</v>
      </c>
      <c r="D34" s="104">
        <f>C3*C31*C32*C34</f>
        <v>6.6660000000000009E-3</v>
      </c>
      <c r="E34" s="110" t="s">
        <v>684</v>
      </c>
      <c r="F34" s="110" t="s">
        <v>685</v>
      </c>
      <c r="G34" s="110" t="s">
        <v>686</v>
      </c>
      <c r="H34" s="116">
        <v>0.75</v>
      </c>
      <c r="I34" s="101">
        <f>H34*C34</f>
        <v>0.249975</v>
      </c>
      <c r="J34" s="101">
        <f>I34*D32</f>
        <v>4.9995000000000013E-3</v>
      </c>
      <c r="K34" s="116">
        <v>1</v>
      </c>
      <c r="L34" s="101">
        <f>K34*C34</f>
        <v>0.33329999999999999</v>
      </c>
      <c r="M34" s="101">
        <f>L34*D32</f>
        <v>6.6660000000000009E-3</v>
      </c>
    </row>
    <row r="35" spans="2:13" ht="97.5" customHeight="1">
      <c r="B35" s="97" t="s">
        <v>687</v>
      </c>
      <c r="C35" s="104">
        <v>0.33329999999999999</v>
      </c>
      <c r="D35" s="104">
        <f>C3*C31*C32*C35</f>
        <v>6.6660000000000009E-3</v>
      </c>
      <c r="E35" s="110" t="s">
        <v>688</v>
      </c>
      <c r="F35" s="110" t="s">
        <v>689</v>
      </c>
      <c r="G35" s="110" t="s">
        <v>690</v>
      </c>
      <c r="H35" s="116">
        <v>1</v>
      </c>
      <c r="I35" s="101">
        <f>H35*C35</f>
        <v>0.33329999999999999</v>
      </c>
      <c r="J35" s="104">
        <f>I35*D32</f>
        <v>6.6660000000000009E-3</v>
      </c>
      <c r="K35" s="116">
        <v>0.75</v>
      </c>
      <c r="L35" s="101">
        <f>K35*C35</f>
        <v>0.249975</v>
      </c>
      <c r="M35" s="104">
        <f>L35*D32</f>
        <v>4.9995000000000013E-3</v>
      </c>
    </row>
    <row r="36" spans="2:13" ht="14.25" customHeight="1">
      <c r="B36" s="171" t="s">
        <v>691</v>
      </c>
      <c r="C36" s="172">
        <v>0.5</v>
      </c>
      <c r="D36" s="172">
        <f>C3*C31*C36</f>
        <v>2.0000000000000004E-2</v>
      </c>
      <c r="E36" s="178"/>
      <c r="F36" s="178"/>
      <c r="G36" s="178"/>
      <c r="H36" s="174"/>
      <c r="I36" s="175">
        <f>SUM(I37:I38)*C36</f>
        <v>0.5</v>
      </c>
      <c r="J36" s="175">
        <f>SUM(J37:J38)</f>
        <v>2.0000000000000004E-2</v>
      </c>
      <c r="K36" s="174"/>
      <c r="L36" s="175">
        <f>SUM(L37:L38)*C36</f>
        <v>0.4375</v>
      </c>
      <c r="M36" s="175">
        <f>SUM(M37:M38)</f>
        <v>1.7500000000000002E-2</v>
      </c>
    </row>
    <row r="37" spans="2:13" ht="97.5" customHeight="1">
      <c r="B37" s="97" t="s">
        <v>692</v>
      </c>
      <c r="C37" s="104">
        <v>0.5</v>
      </c>
      <c r="D37" s="104">
        <f>C3*C31*C36*C37</f>
        <v>1.0000000000000002E-2</v>
      </c>
      <c r="E37" s="110" t="s">
        <v>693</v>
      </c>
      <c r="F37" s="110" t="s">
        <v>694</v>
      </c>
      <c r="G37" s="110" t="s">
        <v>695</v>
      </c>
      <c r="H37" s="116">
        <v>1</v>
      </c>
      <c r="I37" s="101">
        <f>H37*C37</f>
        <v>0.5</v>
      </c>
      <c r="J37" s="101">
        <f>I37*D36</f>
        <v>1.0000000000000002E-2</v>
      </c>
      <c r="K37" s="116">
        <v>0.75</v>
      </c>
      <c r="L37" s="101">
        <f>K37*C37</f>
        <v>0.375</v>
      </c>
      <c r="M37" s="101">
        <f>L37*D36</f>
        <v>7.5000000000000015E-3</v>
      </c>
    </row>
    <row r="38" spans="2:13" ht="97.5" customHeight="1">
      <c r="B38" s="97" t="s">
        <v>696</v>
      </c>
      <c r="C38" s="104">
        <v>0.5</v>
      </c>
      <c r="D38" s="104">
        <f>C3*C31*C36*C38</f>
        <v>1.0000000000000002E-2</v>
      </c>
      <c r="E38" s="110" t="s">
        <v>697</v>
      </c>
      <c r="F38" s="110" t="s">
        <v>698</v>
      </c>
      <c r="G38" s="110" t="s">
        <v>699</v>
      </c>
      <c r="H38" s="116">
        <v>1</v>
      </c>
      <c r="I38" s="101">
        <f>H38*C38</f>
        <v>0.5</v>
      </c>
      <c r="J38" s="101">
        <f>I38*D36</f>
        <v>1.0000000000000002E-2</v>
      </c>
      <c r="K38" s="116">
        <v>1</v>
      </c>
      <c r="L38" s="101">
        <f>K38*C38</f>
        <v>0.5</v>
      </c>
      <c r="M38" s="101">
        <f>L38*D36</f>
        <v>1.0000000000000002E-2</v>
      </c>
    </row>
    <row r="39" spans="2:13" ht="14.25" customHeight="1">
      <c r="B39" s="167" t="s">
        <v>700</v>
      </c>
      <c r="C39" s="168">
        <v>0.1</v>
      </c>
      <c r="D39" s="168">
        <f>C3*C39</f>
        <v>2.0000000000000004E-2</v>
      </c>
      <c r="E39" s="169"/>
      <c r="F39" s="169"/>
      <c r="G39" s="169"/>
      <c r="H39" s="170"/>
      <c r="I39" s="170">
        <f>SUM(I40+I44)*C39</f>
        <v>9.9995000000000001E-2</v>
      </c>
      <c r="J39" s="170">
        <f>SUM(J40+J44)</f>
        <v>1.9999000000000003E-2</v>
      </c>
      <c r="K39" s="170"/>
      <c r="L39" s="170">
        <f>SUM(L40+L44)*C39</f>
        <v>8.3328750000000007E-2</v>
      </c>
      <c r="M39" s="170">
        <f>SUM(M40+M44)</f>
        <v>1.6665750000000003E-2</v>
      </c>
    </row>
    <row r="40" spans="2:13" ht="14.25" customHeight="1">
      <c r="B40" s="171" t="s">
        <v>701</v>
      </c>
      <c r="C40" s="172">
        <v>0.5</v>
      </c>
      <c r="D40" s="172">
        <f>C3*C39*C40</f>
        <v>1.0000000000000002E-2</v>
      </c>
      <c r="E40" s="178"/>
      <c r="F40" s="178"/>
      <c r="G40" s="178"/>
      <c r="H40" s="174"/>
      <c r="I40" s="175">
        <f>SUM(I41:I43)*C40</f>
        <v>0.49995000000000001</v>
      </c>
      <c r="J40" s="175">
        <f>SUM(J41:J43)</f>
        <v>9.9990000000000009E-3</v>
      </c>
      <c r="K40" s="174"/>
      <c r="L40" s="175">
        <f>SUM(L41:L43)*C40</f>
        <v>0.45828749999999996</v>
      </c>
      <c r="M40" s="175">
        <f>SUM(M41:M43)</f>
        <v>9.165750000000002E-3</v>
      </c>
    </row>
    <row r="41" spans="2:13" ht="97.5" customHeight="1">
      <c r="B41" s="97" t="s">
        <v>702</v>
      </c>
      <c r="C41" s="104">
        <v>0.33329999999999999</v>
      </c>
      <c r="D41" s="104">
        <f>C3*C39*C40*C41</f>
        <v>3.3330000000000005E-3</v>
      </c>
      <c r="E41" s="110" t="s">
        <v>703</v>
      </c>
      <c r="F41" s="110" t="s">
        <v>704</v>
      </c>
      <c r="G41" s="110" t="s">
        <v>705</v>
      </c>
      <c r="H41" s="116">
        <v>1</v>
      </c>
      <c r="I41" s="101">
        <f>H41*C41</f>
        <v>0.33329999999999999</v>
      </c>
      <c r="J41" s="101">
        <f>I41*D40</f>
        <v>3.3330000000000005E-3</v>
      </c>
      <c r="K41" s="116">
        <v>1</v>
      </c>
      <c r="L41" s="101">
        <f>K41*C41</f>
        <v>0.33329999999999999</v>
      </c>
      <c r="M41" s="101">
        <f>L41*D40</f>
        <v>3.3330000000000005E-3</v>
      </c>
    </row>
    <row r="42" spans="2:13" ht="97.5" customHeight="1">
      <c r="B42" s="97" t="s">
        <v>706</v>
      </c>
      <c r="C42" s="104">
        <v>0.33329999999999999</v>
      </c>
      <c r="D42" s="104">
        <f>C3*C39*C40*C42</f>
        <v>3.3330000000000005E-3</v>
      </c>
      <c r="E42" s="110" t="s">
        <v>707</v>
      </c>
      <c r="F42" s="110" t="s">
        <v>708</v>
      </c>
      <c r="G42" s="110" t="s">
        <v>709</v>
      </c>
      <c r="H42" s="116">
        <v>1</v>
      </c>
      <c r="I42" s="101">
        <f>H42*C42</f>
        <v>0.33329999999999999</v>
      </c>
      <c r="J42" s="101">
        <f>I42*D40</f>
        <v>3.3330000000000005E-3</v>
      </c>
      <c r="K42" s="116">
        <v>1</v>
      </c>
      <c r="L42" s="101">
        <f>K42*C42</f>
        <v>0.33329999999999999</v>
      </c>
      <c r="M42" s="101">
        <f>L42*D40</f>
        <v>3.3330000000000005E-3</v>
      </c>
    </row>
    <row r="43" spans="2:13" ht="97.5" customHeight="1">
      <c r="B43" s="97" t="s">
        <v>710</v>
      </c>
      <c r="C43" s="104">
        <v>0.33329999999999999</v>
      </c>
      <c r="D43" s="104">
        <f>C3*C39*C40*C43</f>
        <v>3.3330000000000005E-3</v>
      </c>
      <c r="E43" s="110" t="s">
        <v>711</v>
      </c>
      <c r="F43" s="110" t="s">
        <v>712</v>
      </c>
      <c r="G43" s="110" t="s">
        <v>713</v>
      </c>
      <c r="H43" s="116">
        <v>1</v>
      </c>
      <c r="I43" s="101">
        <f>H43*C43</f>
        <v>0.33329999999999999</v>
      </c>
      <c r="J43" s="104">
        <f>I43*D40</f>
        <v>3.3330000000000005E-3</v>
      </c>
      <c r="K43" s="116">
        <v>0.75</v>
      </c>
      <c r="L43" s="101">
        <f>K43*C43</f>
        <v>0.249975</v>
      </c>
      <c r="M43" s="104">
        <f>L43*D40</f>
        <v>2.4997500000000007E-3</v>
      </c>
    </row>
    <row r="44" spans="2:13" ht="14.25" customHeight="1">
      <c r="B44" s="179" t="s">
        <v>714</v>
      </c>
      <c r="C44" s="172">
        <v>0.5</v>
      </c>
      <c r="D44" s="177">
        <f>C3*C39*C44</f>
        <v>1.0000000000000002E-2</v>
      </c>
      <c r="E44" s="178"/>
      <c r="F44" s="178"/>
      <c r="G44" s="178"/>
      <c r="H44" s="174"/>
      <c r="I44" s="175">
        <f>SUM(I45:I46)*C44</f>
        <v>0.5</v>
      </c>
      <c r="J44" s="175">
        <f>SUM(J45:J46)</f>
        <v>1.0000000000000002E-2</v>
      </c>
      <c r="K44" s="174"/>
      <c r="L44" s="175">
        <f>SUM(L45:L46)*C44</f>
        <v>0.375</v>
      </c>
      <c r="M44" s="175">
        <f>SUM(M45:M46)</f>
        <v>7.5000000000000015E-3</v>
      </c>
    </row>
    <row r="45" spans="2:13" ht="111.75" customHeight="1">
      <c r="B45" s="110" t="s">
        <v>715</v>
      </c>
      <c r="C45" s="104">
        <v>0.5</v>
      </c>
      <c r="D45" s="104">
        <f>C3*C39*C44*C45</f>
        <v>5.000000000000001E-3</v>
      </c>
      <c r="E45" s="110" t="s">
        <v>716</v>
      </c>
      <c r="F45" s="110" t="s">
        <v>717</v>
      </c>
      <c r="G45" s="110" t="s">
        <v>718</v>
      </c>
      <c r="H45" s="116">
        <v>1</v>
      </c>
      <c r="I45" s="101">
        <f>H45*C45</f>
        <v>0.5</v>
      </c>
      <c r="J45" s="101">
        <f>I45*D44</f>
        <v>5.000000000000001E-3</v>
      </c>
      <c r="K45" s="116">
        <v>0.75</v>
      </c>
      <c r="L45" s="101">
        <f>K45*C45</f>
        <v>0.375</v>
      </c>
      <c r="M45" s="101">
        <f>L45*D44</f>
        <v>3.7500000000000007E-3</v>
      </c>
    </row>
    <row r="46" spans="2:13" ht="111.75" customHeight="1">
      <c r="B46" s="110" t="s">
        <v>719</v>
      </c>
      <c r="C46" s="104">
        <v>0.5</v>
      </c>
      <c r="D46" s="104">
        <f>C3*C39*C44*C46</f>
        <v>5.000000000000001E-3</v>
      </c>
      <c r="E46" s="110" t="s">
        <v>720</v>
      </c>
      <c r="F46" s="110" t="s">
        <v>721</v>
      </c>
      <c r="G46" s="110" t="s">
        <v>722</v>
      </c>
      <c r="H46" s="116">
        <v>1</v>
      </c>
      <c r="I46" s="101">
        <f>H46*C46</f>
        <v>0.5</v>
      </c>
      <c r="J46" s="101">
        <f>I46*D44</f>
        <v>5.000000000000001E-3</v>
      </c>
      <c r="K46" s="116">
        <v>0.75</v>
      </c>
      <c r="L46" s="101">
        <f>K46*C46</f>
        <v>0.375</v>
      </c>
      <c r="M46" s="101">
        <f>L46*D44</f>
        <v>3.7500000000000007E-3</v>
      </c>
    </row>
    <row r="47" spans="2:13" ht="14.25" customHeight="1">
      <c r="B47" s="180" t="s">
        <v>457</v>
      </c>
      <c r="C47" s="181">
        <f>C4+C15+C23+C31+C39</f>
        <v>1.0000000000000002</v>
      </c>
      <c r="D47" s="181">
        <f>D4+D15+D23+D31+D39</f>
        <v>0.2</v>
      </c>
      <c r="E47" s="169"/>
      <c r="F47" s="169"/>
      <c r="G47" s="169"/>
      <c r="H47" s="170"/>
      <c r="I47" s="181">
        <f>I4+I15+I23+I31+I39</f>
        <v>0.9613361118749999</v>
      </c>
      <c r="J47" s="181">
        <f>J4+J15+J23+J31+J39</f>
        <v>0.19226722237499999</v>
      </c>
      <c r="K47" s="181"/>
      <c r="L47" s="181">
        <f>L4+L15+L23+L31+L39</f>
        <v>0.86689743124999996</v>
      </c>
      <c r="M47" s="181">
        <f>M4+M15+M23+M31+M39</f>
        <v>0.17337948625000002</v>
      </c>
    </row>
    <row r="51" spans="2:3" ht="14.25" customHeight="1">
      <c r="B51" s="121" t="s">
        <v>458</v>
      </c>
      <c r="C51" s="122" t="s">
        <v>459</v>
      </c>
    </row>
    <row r="52" spans="2:3" ht="14.25" customHeight="1">
      <c r="B52" s="123" t="s">
        <v>723</v>
      </c>
      <c r="C52" s="124">
        <v>0.3</v>
      </c>
    </row>
    <row r="53" spans="2:3" ht="14.25" customHeight="1">
      <c r="B53" s="123" t="s">
        <v>724</v>
      </c>
      <c r="C53" s="124">
        <v>0.25</v>
      </c>
    </row>
    <row r="54" spans="2:3" ht="14.25" customHeight="1">
      <c r="B54" s="123" t="s">
        <v>725</v>
      </c>
      <c r="C54" s="124">
        <v>0.2</v>
      </c>
    </row>
    <row r="55" spans="2:3" ht="14.25" customHeight="1">
      <c r="B55" s="123" t="s">
        <v>726</v>
      </c>
      <c r="C55" s="124">
        <v>0.15</v>
      </c>
    </row>
    <row r="56" spans="2:3" ht="14.25" customHeight="1">
      <c r="B56" s="123" t="s">
        <v>727</v>
      </c>
      <c r="C56" s="124">
        <v>0.1</v>
      </c>
    </row>
    <row r="59" spans="2:3" ht="14.25" customHeight="1">
      <c r="B59" s="193" t="s">
        <v>75</v>
      </c>
      <c r="C59" s="193"/>
    </row>
    <row r="60" spans="2:3" ht="14.25" customHeight="1">
      <c r="B60" s="193" t="s">
        <v>77</v>
      </c>
      <c r="C60" s="193"/>
    </row>
    <row r="61" spans="2:3" ht="14.25" customHeight="1">
      <c r="B61" s="2" t="s">
        <v>79</v>
      </c>
      <c r="C61" s="2" t="s">
        <v>80</v>
      </c>
    </row>
    <row r="62" spans="2:3" ht="43.5" customHeight="1">
      <c r="B62" s="59">
        <v>1</v>
      </c>
      <c r="C62" s="60" t="s">
        <v>81</v>
      </c>
    </row>
    <row r="63" spans="2:3" ht="14.25" customHeight="1">
      <c r="B63" s="59">
        <v>0.75</v>
      </c>
      <c r="C63" s="60" t="s">
        <v>82</v>
      </c>
    </row>
    <row r="64" spans="2:3" ht="14.25" customHeight="1">
      <c r="B64" s="59">
        <v>0.5</v>
      </c>
      <c r="C64" s="60" t="s">
        <v>83</v>
      </c>
    </row>
    <row r="65" spans="2:3" ht="14.25" customHeight="1">
      <c r="B65" s="59">
        <v>0.25</v>
      </c>
      <c r="C65" s="60" t="s">
        <v>84</v>
      </c>
    </row>
    <row r="66" spans="2:3" ht="28.5" customHeight="1">
      <c r="B66" s="59">
        <v>0</v>
      </c>
      <c r="C66" s="60" t="s">
        <v>85</v>
      </c>
    </row>
    <row r="68" spans="2:3" ht="14.25" customHeight="1">
      <c r="B68" s="193" t="s">
        <v>86</v>
      </c>
      <c r="C68" s="193"/>
    </row>
    <row r="69" spans="2:3" ht="27.75" customHeight="1">
      <c r="B69" s="193" t="s">
        <v>87</v>
      </c>
      <c r="C69" s="193"/>
    </row>
    <row r="70" spans="2:3" ht="14.25" customHeight="1">
      <c r="B70" s="2" t="s">
        <v>79</v>
      </c>
      <c r="C70" s="2" t="s">
        <v>80</v>
      </c>
    </row>
    <row r="71" spans="2:3" ht="57.75" customHeight="1">
      <c r="B71" s="59">
        <v>1</v>
      </c>
      <c r="C71" s="60" t="s">
        <v>88</v>
      </c>
    </row>
    <row r="72" spans="2:3" ht="28.5" customHeight="1">
      <c r="B72" s="59">
        <v>0.75</v>
      </c>
      <c r="C72" s="60" t="s">
        <v>89</v>
      </c>
    </row>
    <row r="73" spans="2:3" ht="28.5" customHeight="1">
      <c r="B73" s="59">
        <v>0.5</v>
      </c>
      <c r="C73" s="60" t="s">
        <v>90</v>
      </c>
    </row>
    <row r="74" spans="2:3" ht="28.5" customHeight="1">
      <c r="B74" s="59">
        <v>0.25</v>
      </c>
      <c r="C74" s="60" t="s">
        <v>91</v>
      </c>
    </row>
    <row r="75" spans="2:3" ht="27.75" customHeight="1">
      <c r="B75" s="59">
        <v>0</v>
      </c>
      <c r="C75" s="60" t="s">
        <v>92</v>
      </c>
    </row>
    <row r="77" spans="2:3" ht="14.25" customHeight="1">
      <c r="B77" s="193" t="s">
        <v>93</v>
      </c>
      <c r="C77" s="193"/>
    </row>
    <row r="78" spans="2:3" ht="14.25" customHeight="1">
      <c r="B78" s="193" t="s">
        <v>94</v>
      </c>
      <c r="C78" s="193"/>
    </row>
    <row r="79" spans="2:3" ht="14.25" customHeight="1">
      <c r="B79" s="2" t="s">
        <v>79</v>
      </c>
      <c r="C79" s="2" t="s">
        <v>80</v>
      </c>
    </row>
    <row r="80" spans="2:3" ht="43.5" customHeight="1">
      <c r="B80" s="59">
        <v>1</v>
      </c>
      <c r="C80" s="60" t="s">
        <v>95</v>
      </c>
    </row>
    <row r="81" spans="2:3" ht="43.5" customHeight="1">
      <c r="B81" s="59">
        <v>0.75</v>
      </c>
      <c r="C81" s="60" t="s">
        <v>96</v>
      </c>
    </row>
    <row r="82" spans="2:3" ht="28.5" customHeight="1">
      <c r="B82" s="59">
        <v>0.5</v>
      </c>
      <c r="C82" s="60" t="s">
        <v>97</v>
      </c>
    </row>
    <row r="83" spans="2:3" ht="43.5" customHeight="1">
      <c r="B83" s="59">
        <v>0.25</v>
      </c>
      <c r="C83" s="60" t="s">
        <v>98</v>
      </c>
    </row>
    <row r="84" spans="2:3" ht="14.25" customHeight="1">
      <c r="B84" s="59">
        <v>0</v>
      </c>
      <c r="C84" s="60" t="s">
        <v>99</v>
      </c>
    </row>
    <row r="86" spans="2:3" ht="14.25" customHeight="1">
      <c r="B86" s="193" t="s">
        <v>100</v>
      </c>
      <c r="C86" s="193"/>
    </row>
    <row r="87" spans="2:3" ht="14.25" customHeight="1">
      <c r="B87" s="193" t="s">
        <v>101</v>
      </c>
      <c r="C87" s="193"/>
    </row>
    <row r="88" spans="2:3" ht="14.25" customHeight="1">
      <c r="B88" s="2" t="s">
        <v>79</v>
      </c>
      <c r="C88" s="2" t="s">
        <v>80</v>
      </c>
    </row>
    <row r="89" spans="2:3" ht="57.75" customHeight="1">
      <c r="B89" s="59">
        <v>1</v>
      </c>
      <c r="C89" s="60" t="s">
        <v>102</v>
      </c>
    </row>
    <row r="90" spans="2:3" ht="28.5" customHeight="1">
      <c r="B90" s="59">
        <v>0.75</v>
      </c>
      <c r="C90" s="60" t="s">
        <v>103</v>
      </c>
    </row>
    <row r="91" spans="2:3" ht="28.5" customHeight="1">
      <c r="B91" s="59">
        <v>0.5</v>
      </c>
      <c r="C91" s="60" t="s">
        <v>104</v>
      </c>
    </row>
    <row r="92" spans="2:3" ht="28.5" customHeight="1">
      <c r="B92" s="59">
        <v>0.25</v>
      </c>
      <c r="C92" s="60" t="s">
        <v>105</v>
      </c>
    </row>
    <row r="93" spans="2:3" ht="14.25" customHeight="1">
      <c r="B93" s="59">
        <v>0</v>
      </c>
      <c r="C93" s="60" t="s">
        <v>106</v>
      </c>
    </row>
    <row r="95" spans="2:3" ht="14.25" customHeight="1">
      <c r="B95" s="193" t="s">
        <v>107</v>
      </c>
      <c r="C95" s="193"/>
    </row>
    <row r="96" spans="2:3" ht="14.25" customHeight="1">
      <c r="B96" s="193" t="s">
        <v>108</v>
      </c>
      <c r="C96" s="193"/>
    </row>
    <row r="97" spans="2:3" ht="14.25" customHeight="1">
      <c r="B97" s="2" t="s">
        <v>79</v>
      </c>
      <c r="C97" s="2" t="s">
        <v>80</v>
      </c>
    </row>
    <row r="98" spans="2:3" ht="57.75" customHeight="1">
      <c r="B98" s="59">
        <v>1</v>
      </c>
      <c r="C98" s="60" t="s">
        <v>109</v>
      </c>
    </row>
    <row r="99" spans="2:3" ht="28.5" customHeight="1">
      <c r="B99" s="59">
        <v>0.75</v>
      </c>
      <c r="C99" s="60" t="s">
        <v>110</v>
      </c>
    </row>
    <row r="100" spans="2:3" ht="28.5" customHeight="1">
      <c r="B100" s="59">
        <v>0.5</v>
      </c>
      <c r="C100" s="60" t="s">
        <v>111</v>
      </c>
    </row>
    <row r="101" spans="2:3" ht="14.25" customHeight="1">
      <c r="B101" s="59">
        <v>0.25</v>
      </c>
      <c r="C101" s="60" t="s">
        <v>112</v>
      </c>
    </row>
    <row r="102" spans="2:3" ht="28.5" customHeight="1">
      <c r="B102" s="59">
        <v>0</v>
      </c>
      <c r="C102" s="60" t="s">
        <v>113</v>
      </c>
    </row>
    <row r="104" spans="2:3" ht="14.25" customHeight="1">
      <c r="B104" s="193" t="s">
        <v>728</v>
      </c>
      <c r="C104" s="193"/>
    </row>
    <row r="105" spans="2:3" ht="28.5" customHeight="1">
      <c r="B105" s="193" t="s">
        <v>729</v>
      </c>
      <c r="C105" s="193"/>
    </row>
    <row r="106" spans="2:3" ht="14.25" customHeight="1">
      <c r="B106" s="2" t="s">
        <v>79</v>
      </c>
      <c r="C106" s="2" t="s">
        <v>80</v>
      </c>
    </row>
    <row r="107" spans="2:3" ht="43.5" customHeight="1">
      <c r="B107" s="59">
        <v>1</v>
      </c>
      <c r="C107" s="60" t="s">
        <v>730</v>
      </c>
    </row>
    <row r="108" spans="2:3" ht="28.5" customHeight="1">
      <c r="B108" s="59">
        <v>0.75</v>
      </c>
      <c r="C108" s="60" t="s">
        <v>70</v>
      </c>
    </row>
    <row r="109" spans="2:3" ht="43.5" customHeight="1">
      <c r="B109" s="59">
        <v>0.5</v>
      </c>
      <c r="C109" s="60" t="s">
        <v>731</v>
      </c>
    </row>
    <row r="110" spans="2:3" ht="43.5" customHeight="1">
      <c r="B110" s="59">
        <v>0.25</v>
      </c>
      <c r="C110" s="60" t="s">
        <v>732</v>
      </c>
    </row>
    <row r="111" spans="2:3" ht="14.25" customHeight="1">
      <c r="B111" s="59">
        <v>0</v>
      </c>
      <c r="C111" s="60" t="s">
        <v>733</v>
      </c>
    </row>
  </sheetData>
  <mergeCells count="19">
    <mergeCell ref="H2:J2"/>
    <mergeCell ref="K2:M2"/>
    <mergeCell ref="B59:C59"/>
    <mergeCell ref="B60:C60"/>
    <mergeCell ref="B68:C68"/>
    <mergeCell ref="B2:B3"/>
    <mergeCell ref="D2:D3"/>
    <mergeCell ref="E2:E3"/>
    <mergeCell ref="F2:F3"/>
    <mergeCell ref="G2:G3"/>
    <mergeCell ref="B95:C95"/>
    <mergeCell ref="B96:C96"/>
    <mergeCell ref="B104:C104"/>
    <mergeCell ref="B105:C105"/>
    <mergeCell ref="B69:C69"/>
    <mergeCell ref="B77:C77"/>
    <mergeCell ref="B78:C78"/>
    <mergeCell ref="B86:C86"/>
    <mergeCell ref="B87:C8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zoomScaleNormal="100" workbookViewId="0">
      <selection activeCell="A11" sqref="A11"/>
    </sheetView>
  </sheetViews>
  <sheetFormatPr defaultColWidth="8.7109375" defaultRowHeight="14.45"/>
  <cols>
    <col min="1" max="1" width="120" customWidth="1"/>
  </cols>
  <sheetData>
    <row r="1" spans="1:1" ht="18" customHeight="1">
      <c r="A1" s="182" t="s">
        <v>734</v>
      </c>
    </row>
    <row r="3" spans="1:1" ht="14.25" customHeight="1">
      <c r="A3" t="s">
        <v>735</v>
      </c>
    </row>
    <row r="4" spans="1:1" ht="14.25" customHeight="1">
      <c r="A4" t="s">
        <v>736</v>
      </c>
    </row>
    <row r="5" spans="1:1" ht="14.25" customHeight="1">
      <c r="A5" t="s">
        <v>737</v>
      </c>
    </row>
    <row r="6" spans="1:1" ht="14.25" customHeight="1">
      <c r="A6" t="s">
        <v>738</v>
      </c>
    </row>
    <row r="7" spans="1:1" ht="14.25" customHeight="1">
      <c r="A7" t="s">
        <v>739</v>
      </c>
    </row>
    <row r="8" spans="1:1" ht="14.25" customHeight="1">
      <c r="A8" t="s">
        <v>740</v>
      </c>
    </row>
    <row r="9" spans="1:1" ht="14.25" customHeight="1">
      <c r="A9" t="s">
        <v>741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9F7B-4F1C-4E74-B636-856209131162}">
  <dimension ref="C2:F8"/>
  <sheetViews>
    <sheetView topLeftCell="A12" zoomScaleNormal="100" workbookViewId="0">
      <selection activeCell="F30" sqref="F30"/>
    </sheetView>
  </sheetViews>
  <sheetFormatPr defaultColWidth="8.7109375" defaultRowHeight="14.45"/>
  <cols>
    <col min="1" max="2" width="8.7109375" style="183"/>
    <col min="3" max="3" width="19.85546875" style="183" customWidth="1"/>
    <col min="4" max="4" width="16.5703125" style="183" customWidth="1"/>
    <col min="5" max="5" width="9.5703125" style="183" customWidth="1"/>
    <col min="6" max="6" width="9.7109375" style="183" customWidth="1"/>
    <col min="7" max="16384" width="8.7109375" style="183"/>
  </cols>
  <sheetData>
    <row r="2" spans="3:6" ht="15" customHeight="1">
      <c r="D2" s="185" t="s">
        <v>119</v>
      </c>
      <c r="E2" s="183" t="s">
        <v>120</v>
      </c>
      <c r="F2" s="183" t="s">
        <v>742</v>
      </c>
    </row>
    <row r="3" spans="3:6" ht="15" customHeight="1">
      <c r="C3" s="183" t="s">
        <v>743</v>
      </c>
      <c r="D3" s="184">
        <f>'Matriz Funcional'!J60</f>
        <v>0.41428125000000005</v>
      </c>
      <c r="E3" s="184">
        <f>'Matriz Funcional'!M60</f>
        <v>0.41731875000000007</v>
      </c>
      <c r="F3" s="184">
        <v>0.45</v>
      </c>
    </row>
    <row r="4" spans="3:6" ht="15" customHeight="1">
      <c r="C4" s="183" t="s">
        <v>744</v>
      </c>
      <c r="D4" s="184">
        <f>'Matriz Técnica'!J60</f>
        <v>0.14607571250624998</v>
      </c>
      <c r="E4" s="184">
        <f>'Matriz Técnica'!M60</f>
        <v>0.13452287501249999</v>
      </c>
      <c r="F4" s="184">
        <v>0.15</v>
      </c>
    </row>
    <row r="5" spans="3:6" ht="15" customHeight="1">
      <c r="C5" s="183" t="s">
        <v>745</v>
      </c>
      <c r="D5" s="184">
        <f>'Matriz Económica'!J35</f>
        <v>0.12766200000000003</v>
      </c>
      <c r="E5" s="184">
        <f>'Matriz Económica'!M35</f>
        <v>0.17982700000000001</v>
      </c>
      <c r="F5" s="184">
        <v>0.2</v>
      </c>
    </row>
    <row r="6" spans="3:6" ht="15" customHeight="1">
      <c r="C6" s="183" t="s">
        <v>746</v>
      </c>
      <c r="D6" s="184">
        <f>'Matriz Proveedores'!J47</f>
        <v>0.19226722237499999</v>
      </c>
      <c r="E6" s="184">
        <f>'Matriz Proveedores'!M47</f>
        <v>0.17337948625000002</v>
      </c>
      <c r="F6" s="184">
        <v>0.2</v>
      </c>
    </row>
    <row r="8" spans="3:6" ht="15" customHeight="1">
      <c r="D8" s="184">
        <f>SUM(D3:D6)</f>
        <v>0.88028618488124999</v>
      </c>
      <c r="E8" s="184">
        <f>SUM(E3:E6)</f>
        <v>0.90504811126249995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5</cp:revision>
  <dcterms:created xsi:type="dcterms:W3CDTF">2026-05-27T19:57:43Z</dcterms:created>
  <dcterms:modified xsi:type="dcterms:W3CDTF">2026-06-29T02:00:05Z</dcterms:modified>
  <cp:category/>
  <cp:contentStatus/>
</cp:coreProperties>
</file>